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Stammdaten" sheetId="2" state="visible" r:id="rId2"/>
    <sheet name="Verrechnung" sheetId="3" state="visible" r:id="rId3"/>
    <sheet name="Selbstkosten" sheetId="4" state="visible" r:id="rId4"/>
    <sheet name="Rückstellungen" sheetId="5" state="visible" r:id="rId5"/>
    <sheet name="DB1" sheetId="6" state="visible" r:id="rId6"/>
    <sheet name="Kunden-Auswert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;[RED]-#,##0&quot; €&quot;;&quot;-&quot;&quot; €&quot;"/>
    <numFmt numFmtId="165" formatCode="0.0%;[RED]-0.0%;&quot;-&quot;"/>
  </numFmts>
  <fonts count="32">
    <font>
      <name val="Calibri"/>
      <family val="2"/>
      <color theme="1"/>
      <sz val="11"/>
      <scheme val="minor"/>
    </font>
    <font>
      <name val="Georgia"/>
      <b val="1"/>
      <color rgb="00F2EDE0"/>
      <sz val="18"/>
    </font>
    <font>
      <name val="Calibri"/>
      <i val="1"/>
      <color rgb="00F2EDE0"/>
      <sz val="10"/>
    </font>
    <font>
      <name val="Georgia"/>
      <b val="1"/>
      <color rgb="0014120F"/>
      <sz val="12"/>
    </font>
    <font>
      <name val="Calibri"/>
      <color rgb="00191714"/>
      <sz val="10"/>
    </font>
    <font>
      <name val="Consolas"/>
      <color rgb="000000FF"/>
      <sz val="10"/>
    </font>
    <font>
      <name val="Calibri"/>
      <i val="1"/>
      <color rgb="00191714"/>
      <sz val="9"/>
    </font>
    <font>
      <name val="Calibri"/>
      <i val="1"/>
      <color rgb="000000FF"/>
      <sz val="9"/>
    </font>
    <font>
      <name val="Calibri"/>
      <b val="1"/>
      <color rgb="00F2EDE0"/>
      <sz val="10"/>
    </font>
    <font>
      <name val="Calibri"/>
      <b val="1"/>
      <color rgb="000000FF"/>
      <sz val="10"/>
    </font>
    <font>
      <name val="Calibri"/>
      <color rgb="000000FF"/>
      <sz val="10"/>
    </font>
    <font>
      <name val="Calibri"/>
      <i val="1"/>
      <color rgb="000000FF"/>
      <sz val="10"/>
    </font>
    <font>
      <name val="Calibri"/>
      <i val="1"/>
      <color rgb="001E6B3C"/>
      <sz val="9"/>
    </font>
    <font>
      <name val="Calibri"/>
      <color rgb="001E6B3C"/>
      <sz val="10"/>
    </font>
    <font>
      <name val="Consolas"/>
      <b val="1"/>
      <color rgb="00191714"/>
      <sz val="10"/>
    </font>
    <font>
      <name val="Calibri"/>
      <b val="1"/>
      <color rgb="00191714"/>
      <sz val="10"/>
    </font>
    <font>
      <name val="Consolas"/>
      <b val="1"/>
      <color rgb="001E6B3C"/>
      <sz val="10"/>
    </font>
    <font>
      <name val="Consolas"/>
      <color rgb="00191714"/>
      <sz val="10"/>
    </font>
    <font>
      <name val="Calibri"/>
      <i val="1"/>
      <color rgb="0086321F"/>
      <sz val="9"/>
    </font>
    <font>
      <name val="Calibri"/>
      <i val="1"/>
      <color rgb="002E7D46"/>
      <sz val="9"/>
    </font>
    <font>
      <name val="Consolas"/>
      <color rgb="001E6B3C"/>
      <sz val="10"/>
    </font>
    <font>
      <name val="Consolas"/>
      <color rgb="0086321F"/>
      <sz val="10"/>
    </font>
    <font>
      <name val="Calibri"/>
      <b val="1"/>
      <color rgb="00F2EDE0"/>
      <sz val="9"/>
    </font>
    <font>
      <name val="Consolas"/>
      <b val="1"/>
      <color rgb="00F2EDE0"/>
      <sz val="16"/>
    </font>
    <font>
      <name val="Calibri"/>
      <b val="1"/>
      <color rgb="006D6555"/>
      <sz val="8"/>
    </font>
    <font>
      <name val="Consolas"/>
      <b val="1"/>
      <color rgb="00191714"/>
      <sz val="13"/>
    </font>
    <font>
      <name val="Consolas"/>
      <b val="1"/>
      <color rgb="0086321F"/>
      <sz val="13"/>
    </font>
    <font>
      <name val="Georgia"/>
      <b val="1"/>
      <color rgb="00F2EDE0"/>
      <sz val="11"/>
    </font>
    <font>
      <name val="Calibri"/>
      <b val="1"/>
      <color rgb="00191714"/>
      <sz val="9"/>
    </font>
    <font>
      <name val="Calibri"/>
      <color rgb="006D6555"/>
      <sz val="10"/>
    </font>
    <font>
      <name val="Consolas"/>
      <b val="1"/>
      <color rgb="0086321F"/>
      <sz val="10"/>
    </font>
    <font>
      <name val="Calibri"/>
      <i val="1"/>
      <color rgb="006D6555"/>
      <sz val="9"/>
    </font>
  </fonts>
  <fills count="13">
    <fill>
      <patternFill/>
    </fill>
    <fill>
      <patternFill patternType="gray125"/>
    </fill>
    <fill>
      <patternFill patternType="solid">
        <fgColor rgb="0014120F"/>
      </patternFill>
    </fill>
    <fill>
      <patternFill patternType="solid">
        <fgColor rgb="0086321F"/>
      </patternFill>
    </fill>
    <fill>
      <patternFill patternType="solid">
        <fgColor rgb="00FBEBC2"/>
      </patternFill>
    </fill>
    <fill>
      <patternFill patternType="solid">
        <fgColor rgb="00F6F2E8"/>
      </patternFill>
    </fill>
    <fill>
      <patternFill patternType="solid">
        <fgColor rgb="008A6A3E"/>
      </patternFill>
    </fill>
    <fill>
      <patternFill patternType="solid">
        <fgColor rgb="00ECE4D0"/>
      </patternFill>
    </fill>
    <fill>
      <patternFill patternType="solid">
        <fgColor rgb="00E7C9C0"/>
      </patternFill>
    </fill>
    <fill>
      <patternFill patternType="solid">
        <fgColor rgb="00CFE3D3"/>
      </patternFill>
    </fill>
    <fill>
      <patternFill patternType="solid">
        <fgColor rgb="005A4423"/>
      </patternFill>
    </fill>
    <fill>
      <patternFill patternType="solid">
        <fgColor rgb="002E7D46"/>
      </patternFill>
    </fill>
    <fill>
      <patternFill patternType="solid">
        <fgColor rgb="000B0A08"/>
      </patternFill>
    </fill>
  </fills>
  <borders count="11">
    <border>
      <left/>
      <right/>
      <top/>
      <bottom/>
      <diagonal/>
    </border>
    <border>
      <left style="thin">
        <color rgb="00C9C2B2"/>
      </left>
      <right style="thin">
        <color rgb="00C9C2B2"/>
      </right>
      <top style="thin">
        <color rgb="00C9C2B2"/>
      </top>
      <bottom style="thin">
        <color rgb="00C9C2B2"/>
      </bottom>
    </border>
    <border>
      <left style="thin">
        <color rgb="0014120F"/>
      </left>
      <right style="thin">
        <color rgb="0014120F"/>
      </right>
      <top style="thin">
        <color rgb="0014120F"/>
      </top>
      <bottom style="thin">
        <color rgb="0014120F"/>
      </bottom>
    </border>
    <border>
      <left style="thin">
        <color rgb="00C9C2B2"/>
      </left>
      <right style="thin">
        <color rgb="00C9C2B2"/>
      </right>
      <top style="medium">
        <color rgb="0014120F"/>
      </top>
      <bottom style="thin">
        <color rgb="00C9C2B2"/>
      </bottom>
    </border>
    <border>
      <left style="thin">
        <color rgb="0014120F"/>
      </left>
      <right style="thin">
        <color rgb="0014120F"/>
      </right>
    </border>
    <border>
      <left style="thin">
        <color rgb="0014120F"/>
      </left>
      <top style="thin">
        <color rgb="00C9C2B2"/>
      </top>
      <bottom style="thin">
        <color rgb="0014120F"/>
      </bottom>
    </border>
    <border>
      <right style="thin">
        <color rgb="0014120F"/>
      </right>
      <top style="thin">
        <color rgb="00C9C2B2"/>
      </top>
      <bottom style="thin">
        <color rgb="0014120F"/>
      </bottom>
    </border>
    <border>
      <left style="thin">
        <color rgb="00C9C2B2"/>
      </left>
      <right style="thin">
        <color rgb="00C9C2B2"/>
      </right>
      <top style="thin">
        <color rgb="00C9C2B2"/>
      </top>
      <bottom style="medium">
        <color rgb="00A8402C"/>
      </bottom>
    </border>
    <border>
      <left/>
      <right/>
      <top style="thin">
        <color rgb="0014120F"/>
      </top>
      <bottom/>
      <diagonal/>
    </border>
    <border>
      <left/>
      <right style="thin">
        <color rgb="0014120F"/>
      </right>
      <top style="thin">
        <color rgb="0014120F"/>
      </top>
      <bottom/>
      <diagonal/>
    </border>
    <border>
      <left/>
      <right style="thin">
        <color rgb="0014120F"/>
      </right>
      <top style="thin">
        <color rgb="0014120F"/>
      </top>
      <bottom style="thin">
        <color rgb="0014120F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22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22" fillId="3" borderId="4" applyAlignment="1" pivotButton="0" quotePrefix="0" xfId="0">
      <alignment horizontal="center" vertical="center"/>
    </xf>
    <xf numFmtId="0" fontId="22" fillId="10" borderId="4" applyAlignment="1" pivotButton="0" quotePrefix="0" xfId="0">
      <alignment horizontal="center" vertical="center"/>
    </xf>
    <xf numFmtId="0" fontId="22" fillId="11" borderId="4" applyAlignment="1" pivotButton="0" quotePrefix="0" xfId="0">
      <alignment horizontal="center" vertical="center"/>
    </xf>
    <xf numFmtId="0" fontId="22" fillId="12" borderId="4" applyAlignment="1" pivotButton="0" quotePrefix="0" xfId="0">
      <alignment horizontal="center" vertical="center"/>
    </xf>
    <xf numFmtId="164" fontId="2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3" fillId="3" borderId="5" applyAlignment="1" pivotButton="0" quotePrefix="0" xfId="0">
      <alignment horizontal="center" vertical="center"/>
    </xf>
    <xf numFmtId="164" fontId="23" fillId="10" borderId="5" applyAlignment="1" pivotButton="0" quotePrefix="0" xfId="0">
      <alignment horizontal="center" vertical="center"/>
    </xf>
    <xf numFmtId="164" fontId="23" fillId="11" borderId="5" applyAlignment="1" pivotButton="0" quotePrefix="0" xfId="0">
      <alignment horizontal="center" vertical="center"/>
    </xf>
    <xf numFmtId="165" fontId="23" fillId="12" borderId="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164" fontId="25" fillId="5" borderId="7" applyAlignment="1" pivotButton="0" quotePrefix="0" xfId="0">
      <alignment horizontal="center" vertical="center"/>
    </xf>
    <xf numFmtId="0" fontId="0" fillId="0" borderId="7" pivotButton="0" quotePrefix="0" xfId="0"/>
    <xf numFmtId="165" fontId="25" fillId="5" borderId="7" applyAlignment="1" pivotButton="0" quotePrefix="0" xfId="0">
      <alignment horizontal="center" vertical="center"/>
    </xf>
    <xf numFmtId="1" fontId="26" fillId="5" borderId="7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 indent="1"/>
    </xf>
    <xf numFmtId="0" fontId="27" fillId="3" borderId="0" applyAlignment="1" pivotButton="0" quotePrefix="0" xfId="0">
      <alignment horizontal="left" vertical="center" indent="1"/>
    </xf>
    <xf numFmtId="0" fontId="28" fillId="7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4" fillId="0" borderId="1" pivotButton="0" quotePrefix="0" xfId="0"/>
    <xf numFmtId="0" fontId="29" fillId="0" borderId="1" pivotButton="0" quotePrefix="0" xfId="0"/>
    <xf numFmtId="164" fontId="14" fillId="0" borderId="1" applyAlignment="1" pivotButton="0" quotePrefix="0" xfId="0">
      <alignment horizontal="right"/>
    </xf>
    <xf numFmtId="165" fontId="17" fillId="0" borderId="1" applyAlignment="1" pivotButton="0" quotePrefix="0" xfId="0">
      <alignment horizontal="right"/>
    </xf>
    <xf numFmtId="164" fontId="30" fillId="0" borderId="1" applyAlignment="1" pivotButton="0" quotePrefix="0" xfId="0">
      <alignment horizontal="right"/>
    </xf>
    <xf numFmtId="0" fontId="14" fillId="5" borderId="1" applyAlignment="1" pivotButton="0" quotePrefix="0" xfId="0">
      <alignment horizontal="center"/>
    </xf>
    <xf numFmtId="0" fontId="4" fillId="5" borderId="1" pivotButton="0" quotePrefix="0" xfId="0"/>
    <xf numFmtId="0" fontId="29" fillId="5" borderId="1" pivotButton="0" quotePrefix="0" xfId="0"/>
    <xf numFmtId="164" fontId="14" fillId="5" borderId="1" applyAlignment="1" pivotButton="0" quotePrefix="0" xfId="0">
      <alignment horizontal="right"/>
    </xf>
    <xf numFmtId="165" fontId="17" fillId="5" borderId="1" applyAlignment="1" pivotButton="0" quotePrefix="0" xfId="0">
      <alignment horizontal="right"/>
    </xf>
    <xf numFmtId="164" fontId="30" fillId="5" borderId="1" applyAlignment="1" pivotButton="0" quotePrefix="0" xfId="0">
      <alignment horizontal="right"/>
    </xf>
    <xf numFmtId="0" fontId="0" fillId="0" borderId="10" pivotButton="0" quotePrefix="0" xfId="0"/>
    <xf numFmtId="0" fontId="15" fillId="0" borderId="1" pivotButton="0" quotePrefix="0" xfId="0"/>
    <xf numFmtId="0" fontId="0" fillId="0" borderId="1" pivotButton="0" quotePrefix="0" xfId="0"/>
    <xf numFmtId="164" fontId="17" fillId="0" borderId="1" applyAlignment="1" pivotButton="0" quotePrefix="0" xfId="0">
      <alignment horizontal="right"/>
    </xf>
    <xf numFmtId="0" fontId="15" fillId="5" borderId="1" pivotButton="0" quotePrefix="0" xfId="0"/>
    <xf numFmtId="0" fontId="0" fillId="5" borderId="1" pivotButton="0" quotePrefix="0" xfId="0"/>
    <xf numFmtId="164" fontId="17" fillId="5" borderId="1" applyAlignment="1" pivotButton="0" quotePrefix="0" xfId="0">
      <alignment horizontal="right"/>
    </xf>
    <xf numFmtId="0" fontId="3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0" fontId="5" fillId="4" borderId="1" applyAlignment="1" pivotButton="0" quotePrefix="0" xfId="0">
      <alignment horizontal="right"/>
    </xf>
    <xf numFmtId="0" fontId="7" fillId="4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5" fillId="5" borderId="3" applyAlignment="1" pivotButton="0" quotePrefix="0" xfId="0">
      <alignment horizontal="center"/>
    </xf>
    <xf numFmtId="0" fontId="9" fillId="5" borderId="3" pivotButton="0" quotePrefix="0" xfId="0"/>
    <xf numFmtId="0" fontId="10" fillId="5" borderId="3" pivotButton="0" quotePrefix="0" xfId="0"/>
    <xf numFmtId="0" fontId="11" fillId="5" borderId="3" pivotButton="0" quotePrefix="0" xfId="0"/>
    <xf numFmtId="0" fontId="5" fillId="5" borderId="1" applyAlignment="1" pivotButton="0" quotePrefix="0" xfId="0">
      <alignment horizontal="center"/>
    </xf>
    <xf numFmtId="0" fontId="9" fillId="5" borderId="1" pivotButton="0" quotePrefix="0" xfId="0"/>
    <xf numFmtId="0" fontId="10" fillId="5" borderId="1" pivotButton="0" quotePrefix="0" xfId="0"/>
    <xf numFmtId="0" fontId="11" fillId="5" borderId="1" pivotButton="0" quotePrefix="0" xfId="0"/>
    <xf numFmtId="0" fontId="5" fillId="0" borderId="3" applyAlignment="1" pivotButton="0" quotePrefix="0" xfId="0">
      <alignment horizontal="center"/>
    </xf>
    <xf numFmtId="0" fontId="9" fillId="0" borderId="3" pivotButton="0" quotePrefix="0" xfId="0"/>
    <xf numFmtId="0" fontId="10" fillId="0" borderId="3" pivotButton="0" quotePrefix="0" xfId="0"/>
    <xf numFmtId="0" fontId="11" fillId="0" borderId="3" pivotButton="0" quotePrefix="0" xfId="0"/>
    <xf numFmtId="0" fontId="1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164" fontId="5" fillId="4" borderId="1" applyAlignment="1" pivotButton="0" quotePrefix="0" xfId="0">
      <alignment horizontal="right"/>
    </xf>
    <xf numFmtId="0" fontId="13" fillId="5" borderId="1" applyAlignment="1" pivotButton="0" quotePrefix="0" xfId="0">
      <alignment horizontal="center"/>
    </xf>
    <xf numFmtId="0" fontId="13" fillId="5" borderId="1" applyAlignment="1" pivotButton="0" quotePrefix="0" xfId="0">
      <alignment horizontal="left"/>
    </xf>
    <xf numFmtId="0" fontId="15" fillId="0" borderId="0" pivotButton="0" quotePrefix="0" xfId="0"/>
    <xf numFmtId="10" fontId="16" fillId="0" borderId="1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164" fontId="14" fillId="7" borderId="1" applyAlignment="1" pivotButton="0" quotePrefix="0" xfId="0">
      <alignment horizontal="right"/>
    </xf>
    <xf numFmtId="0" fontId="18" fillId="8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left" vertical="center"/>
    </xf>
    <xf numFmtId="164" fontId="20" fillId="0" borderId="1" applyAlignment="1" pivotButton="0" quotePrefix="0" xfId="0">
      <alignment horizontal="right"/>
    </xf>
    <xf numFmtId="1" fontId="17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E7C9C0"/>
        </patternFill>
      </fill>
    </dxf>
    <dxf>
      <font>
        <b val="1"/>
        <color rgb="0086321F"/>
      </font>
      <fill>
        <patternFill patternType="solid">
          <fgColor rgb="00E7C9C0"/>
        </patternFill>
      </fill>
    </dxf>
    <dxf>
      <font>
        <color rgb="0086321F"/>
      </font>
      <fill>
        <patternFill patternType="solid">
          <fgColor rgb="00E7C9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DB1 nach Kunde (Jahr)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4120F"/>
            </a:solidFill>
            <a:ln>
              <a:prstDash val="solid"/>
            </a:ln>
          </spPr>
          <cat>
            <numRef>
              <f>'Übersicht'!$C$26:$C$35</f>
            </numRef>
          </cat>
          <val>
            <numRef>
              <f>'Übersicht'!$F$26:$F$35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DB1 in 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Mitarbeiter nach DB1 (Jahr)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E7D46"/>
            </a:solidFill>
            <a:ln>
              <a:prstDash val="solid"/>
            </a:ln>
          </spPr>
          <cat>
            <numRef>
              <f>'Übersicht'!$C$12:$C$21</f>
            </numRef>
          </cat>
          <val>
            <numRef>
              <f>'Übersicht'!$E$12:$E$21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DB1 in €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plotArea>
      <lineChart>
        <grouping val="standard"/>
        <ser>
          <idx val="0"/>
          <order val="0"/>
          <tx>
            <strRef>
              <f>'Kunden-Auswertung'!B17</f>
            </strRef>
          </tx>
          <spPr>
            <a:ln w="22000">
              <a:solidFill>
                <a:srgbClr val="14120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'Kunden-Auswertung'!$A$18:$A$29</f>
            </numRef>
          </cat>
          <val>
            <numRef>
              <f>'Kunden-Auswertung'!$B$18:$B$29</f>
            </numRef>
          </val>
          <smooth val="0"/>
        </ser>
        <ser>
          <idx val="1"/>
          <order val="1"/>
          <tx>
            <strRef>
              <f>'Kunden-Auswertung'!C17</f>
            </strRef>
          </tx>
          <spPr>
            <a:ln w="22000">
              <a:solidFill>
                <a:srgbClr val="86321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'Kunden-Auswertung'!$A$18:$A$29</f>
            </numRef>
          </cat>
          <val>
            <numRef>
              <f>'Kunden-Auswertung'!$C$18:$C$29</f>
            </numRef>
          </val>
          <smooth val="0"/>
        </ser>
        <ser>
          <idx val="2"/>
          <order val="2"/>
          <tx>
            <strRef>
              <f>'Kunden-Auswertung'!D17</f>
            </strRef>
          </tx>
          <spPr>
            <a:ln w="22000">
              <a:solidFill>
                <a:srgbClr val="8A6A3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'Kunden-Auswertung'!$A$18:$A$29</f>
            </numRef>
          </cat>
          <val>
            <numRef>
              <f>'Kunden-Auswertung'!$D$18:$D$29</f>
            </numRef>
          </val>
          <smooth val="0"/>
        </ser>
        <ser>
          <idx val="3"/>
          <order val="3"/>
          <tx>
            <strRef>
              <f>'Kunden-Auswertung'!E17</f>
            </strRef>
          </tx>
          <spPr>
            <a:ln w="22000">
              <a:solidFill>
                <a:srgbClr val="2E7D4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'Kunden-Auswertung'!$A$18:$A$29</f>
            </numRef>
          </cat>
          <val>
            <numRef>
              <f>'Kunden-Auswertung'!$E$18:$E$29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Fox &amp; People</author>
  </authors>
  <commentList>
    <comment ref="C5" authorId="0" shapeId="0">
      <text>
        <t>Annahme: Urlaubsgeld entspricht 1 Monatsgehalt/-satz pro Jahr → 1/12 = 8,33% Rückstellung je Monat. Bitte an den tatsächlichen Kollektivvertrag / die Firmenregelung anpassen.</t>
      </text>
    </comment>
    <comment ref="C6" authorId="0" shapeId="0">
      <text>
        <t>Annahme: Weihnachtsgeld entspricht 1 Monatsgehalt/-satz pro Jahr → 1/12 = 8,33% Rückstellung je Monat. Bitte an den tatsächlichen Kollektivvertrag / die Firmenregelung anpassen.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38</row>
      <rowOff>0</rowOff>
    </from>
    <ext cx="61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58</row>
      <rowOff>0</rowOff>
    </from>
    <ext cx="122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A8402C"/>
    <outlinePr summaryBelow="1" summaryRight="1"/>
    <pageSetUpPr/>
  </sheetPr>
  <dimension ref="A1:O58"/>
  <sheetViews>
    <sheetView showGridLines="0" tabSelected="1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9" customWidth="1" min="2" max="2"/>
    <col width="27" customWidth="1" min="3" max="3"/>
    <col width="22" customWidth="1" min="4" max="4"/>
    <col width="15" customWidth="1" min="5" max="5"/>
    <col width="11" customWidth="1" min="6" max="6"/>
    <col width="3" customWidth="1" min="7" max="7"/>
    <col width="9" customWidth="1" min="8" max="8"/>
    <col width="27" customWidth="1" min="9" max="9"/>
    <col width="22" customWidth="1" min="10" max="10"/>
    <col width="15" customWidth="1" min="11" max="11"/>
    <col width="11" customWidth="1" min="12" max="12"/>
    <col width="3" customWidth="1" min="13" max="13"/>
    <col width="15" customWidth="1" min="14" max="14"/>
    <col width="15" customWidth="1" min="15" max="15"/>
  </cols>
  <sheetData>
    <row r="1" ht="26" customHeight="1">
      <c r="A1" s="1" t="inlineStr">
        <is>
          <t>FOX &amp; PEOPLE — Personalcontrolling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Verrechnung · Rückstellungen · DB1  —  Geschäftsjahresübersicht (automatisch aus allen Blättern berechnet)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6" customHeight="1"/>
    <row r="5" ht="16" customHeight="1">
      <c r="B5" s="5" t="inlineStr">
        <is>
          <t>GESAMTUMSATZ (JAHR)</t>
        </is>
      </c>
      <c r="C5" s="6" t="n"/>
      <c r="E5" s="7" t="inlineStr">
        <is>
          <t>SELBSTKOSTEN (JAHR)</t>
        </is>
      </c>
      <c r="F5" s="6" t="n"/>
      <c r="H5" s="8" t="inlineStr">
        <is>
          <t>RÜCKSTELLUNGEN (JAHR)</t>
        </is>
      </c>
      <c r="I5" s="6" t="n"/>
      <c r="K5" s="9" t="inlineStr">
        <is>
          <t>DB1 GESAMT (JAHR)</t>
        </is>
      </c>
      <c r="L5" s="6" t="n"/>
      <c r="N5" s="10" t="inlineStr">
        <is>
          <t>Ø DB1-MARGE</t>
        </is>
      </c>
      <c r="O5" s="6" t="n"/>
    </row>
    <row r="6" ht="30" customHeight="1">
      <c r="B6" s="11">
        <f>SUM(Verrechnung!P9:P108)</f>
        <v/>
      </c>
      <c r="C6" s="12" t="n"/>
      <c r="E6" s="13">
        <f>SUM(Selbstkosten!P9:P108)</f>
        <v/>
      </c>
      <c r="F6" s="12" t="n"/>
      <c r="H6" s="14">
        <f>SUM(Rückstellungen!AD9:AD108)</f>
        <v/>
      </c>
      <c r="I6" s="12" t="n"/>
      <c r="K6" s="15">
        <f>SUM(DB1!P9:P108)</f>
        <v/>
      </c>
      <c r="L6" s="12" t="n"/>
      <c r="N6" s="16">
        <f>IFERROR(SUM(DB1!P9:P108)/SUM(Verrechnung!P9:P108),0)</f>
        <v/>
      </c>
      <c r="O6" s="12" t="n"/>
    </row>
    <row r="7" ht="14" customHeight="1">
      <c r="B7" s="17" t="inlineStr">
        <is>
          <t>Ø VERRECHNUNG / MITARBEITER</t>
        </is>
      </c>
      <c r="E7" s="17" t="inlineStr">
        <is>
          <t>PERSONALKOSTENQUOTE</t>
        </is>
      </c>
      <c r="H7" s="17" t="inlineStr">
        <is>
          <t>RÜCKSTELLUNGSQUOTE</t>
        </is>
      </c>
      <c r="K7" s="17" t="inlineStr">
        <is>
          <t>Ø DB1 / MITARBEITER</t>
        </is>
      </c>
      <c r="N7" s="17" t="inlineStr">
        <is>
          <t>MITARBEITER IM MINUS (ANZ.)</t>
        </is>
      </c>
    </row>
    <row r="8" ht="20" customHeight="1">
      <c r="B8" s="18">
        <f>IFERROR(SUM(Verrechnung!P9:P108)/COUNTA(Stammdaten!C9:C108),0)</f>
        <v/>
      </c>
      <c r="C8" s="19" t="n"/>
      <c r="E8" s="20">
        <f>IFERROR(SUM(Selbstkosten!P9:P108)/SUM(Verrechnung!P9:P108),0)</f>
        <v/>
      </c>
      <c r="F8" s="19" t="n"/>
      <c r="H8" s="20">
        <f>IFERROR(SUM(Rückstellungen!AD9:AD108)/SUM(Verrechnung!P9:P108),0)</f>
        <v/>
      </c>
      <c r="I8" s="19" t="n"/>
      <c r="K8" s="18">
        <f>IFERROR(SUM(DB1!P9:P108)/COUNTA(Stammdaten!C9:C108),0)</f>
        <v/>
      </c>
      <c r="L8" s="19" t="n"/>
      <c r="N8" s="21">
        <f>COUNTIF(DB1!P9:P108,"&lt;0")</f>
        <v/>
      </c>
      <c r="O8" s="19" t="n"/>
    </row>
    <row r="9" ht="8" customHeight="1"/>
    <row r="10" ht="20" customHeight="1">
      <c r="B10" s="22" t="inlineStr">
        <is>
          <t>🏆  TOP-PERFORMER — MITARBEITER NACH DB1 (JAHR)</t>
        </is>
      </c>
      <c r="H10" s="23" t="inlineStr">
        <is>
          <t>⚠️  VERLUSTBRINGER — NEGATIVER DB1 IN DER ÜBERLASSUNG</t>
        </is>
      </c>
    </row>
    <row r="11" ht="30" customHeight="1">
      <c r="B11" s="24" t="inlineStr">
        <is>
          <t>Rang</t>
        </is>
      </c>
      <c r="C11" s="24" t="inlineStr">
        <is>
          <t>Mitarbeiter</t>
        </is>
      </c>
      <c r="D11" s="24" t="inlineStr">
        <is>
          <t>Kunde</t>
        </is>
      </c>
      <c r="E11" s="24" t="inlineStr">
        <is>
          <t>DB1 Jahr</t>
        </is>
      </c>
      <c r="F11" s="24" t="inlineStr">
        <is>
          <t>Marge %</t>
        </is>
      </c>
      <c r="H11" s="24" t="inlineStr">
        <is>
          <t>Rang</t>
        </is>
      </c>
      <c r="I11" s="24" t="inlineStr">
        <is>
          <t>Mitarbeiter</t>
        </is>
      </c>
      <c r="J11" s="24" t="inlineStr">
        <is>
          <t>Kunde</t>
        </is>
      </c>
      <c r="K11" s="24" t="inlineStr">
        <is>
          <t>DB1 Jahr</t>
        </is>
      </c>
    </row>
    <row r="12">
      <c r="B12" s="25" t="n">
        <v>1</v>
      </c>
      <c r="C12" s="26">
        <f>IFERROR(INDEX(DB1!$C$9:$C$108,MATCH(B12,DB1!$S$9:$S$108,0)),"")</f>
        <v/>
      </c>
      <c r="D12" s="27">
        <f>IFERROR(INDEX(DB1!$B$9:$B$108,MATCH(B12,DB1!$S$9:$S$108,0)),"")</f>
        <v/>
      </c>
      <c r="E12" s="28">
        <f>IFERROR(INDEX(DB1!$P$9:$P$108,MATCH(B12,DB1!$S$9:$S$108,0)),"")</f>
        <v/>
      </c>
      <c r="F12" s="29">
        <f>IFERROR(INDEX(DB1!$R$9:$R$108,MATCH(B12,DB1!$S$9:$S$108,0)),"")</f>
        <v/>
      </c>
      <c r="H12" s="25" t="n">
        <v>1</v>
      </c>
      <c r="I12" s="26">
        <f>IFERROR(INDEX(DB1!$C$9:$C$108,MATCH(H12,DB1!$T$9:$T$108,0)),"")</f>
        <v/>
      </c>
      <c r="J12" s="27">
        <f>IFERROR(INDEX(DB1!$B$9:$B$108,MATCH(H12,DB1!$T$9:$T$108,0)),"")</f>
        <v/>
      </c>
      <c r="K12" s="30">
        <f>IFERROR(INDEX(DB1!$P$9:$P$108,MATCH(H12,DB1!$T$9:$T$108,0)),"")</f>
        <v/>
      </c>
    </row>
    <row r="13">
      <c r="B13" s="31" t="n">
        <v>2</v>
      </c>
      <c r="C13" s="32">
        <f>IFERROR(INDEX(DB1!$C$9:$C$108,MATCH(B13,DB1!$S$9:$S$108,0)),"")</f>
        <v/>
      </c>
      <c r="D13" s="33">
        <f>IFERROR(INDEX(DB1!$B$9:$B$108,MATCH(B13,DB1!$S$9:$S$108,0)),"")</f>
        <v/>
      </c>
      <c r="E13" s="34">
        <f>IFERROR(INDEX(DB1!$P$9:$P$108,MATCH(B13,DB1!$S$9:$S$108,0)),"")</f>
        <v/>
      </c>
      <c r="F13" s="35">
        <f>IFERROR(INDEX(DB1!$R$9:$R$108,MATCH(B13,DB1!$S$9:$S$108,0)),"")</f>
        <v/>
      </c>
      <c r="H13" s="31" t="n">
        <v>2</v>
      </c>
      <c r="I13" s="32">
        <f>IFERROR(INDEX(DB1!$C$9:$C$108,MATCH(H13,DB1!$T$9:$T$108,0)),"")</f>
        <v/>
      </c>
      <c r="J13" s="33">
        <f>IFERROR(INDEX(DB1!$B$9:$B$108,MATCH(H13,DB1!$T$9:$T$108,0)),"")</f>
        <v/>
      </c>
      <c r="K13" s="36">
        <f>IFERROR(INDEX(DB1!$P$9:$P$108,MATCH(H13,DB1!$T$9:$T$108,0)),"")</f>
        <v/>
      </c>
    </row>
    <row r="14">
      <c r="B14" s="25" t="n">
        <v>3</v>
      </c>
      <c r="C14" s="26">
        <f>IFERROR(INDEX(DB1!$C$9:$C$108,MATCH(B14,DB1!$S$9:$S$108,0)),"")</f>
        <v/>
      </c>
      <c r="D14" s="27">
        <f>IFERROR(INDEX(DB1!$B$9:$B$108,MATCH(B14,DB1!$S$9:$S$108,0)),"")</f>
        <v/>
      </c>
      <c r="E14" s="28">
        <f>IFERROR(INDEX(DB1!$P$9:$P$108,MATCH(B14,DB1!$S$9:$S$108,0)),"")</f>
        <v/>
      </c>
      <c r="F14" s="29">
        <f>IFERROR(INDEX(DB1!$R$9:$R$108,MATCH(B14,DB1!$S$9:$S$108,0)),"")</f>
        <v/>
      </c>
      <c r="H14" s="25" t="n">
        <v>3</v>
      </c>
      <c r="I14" s="26">
        <f>IFERROR(INDEX(DB1!$C$9:$C$108,MATCH(H14,DB1!$T$9:$T$108,0)),"")</f>
        <v/>
      </c>
      <c r="J14" s="27">
        <f>IFERROR(INDEX(DB1!$B$9:$B$108,MATCH(H14,DB1!$T$9:$T$108,0)),"")</f>
        <v/>
      </c>
      <c r="K14" s="30">
        <f>IFERROR(INDEX(DB1!$P$9:$P$108,MATCH(H14,DB1!$T$9:$T$108,0)),"")</f>
        <v/>
      </c>
    </row>
    <row r="15">
      <c r="B15" s="31" t="n">
        <v>4</v>
      </c>
      <c r="C15" s="32">
        <f>IFERROR(INDEX(DB1!$C$9:$C$108,MATCH(B15,DB1!$S$9:$S$108,0)),"")</f>
        <v/>
      </c>
      <c r="D15" s="33">
        <f>IFERROR(INDEX(DB1!$B$9:$B$108,MATCH(B15,DB1!$S$9:$S$108,0)),"")</f>
        <v/>
      </c>
      <c r="E15" s="34">
        <f>IFERROR(INDEX(DB1!$P$9:$P$108,MATCH(B15,DB1!$S$9:$S$108,0)),"")</f>
        <v/>
      </c>
      <c r="F15" s="35">
        <f>IFERROR(INDEX(DB1!$R$9:$R$108,MATCH(B15,DB1!$S$9:$S$108,0)),"")</f>
        <v/>
      </c>
      <c r="H15" s="31" t="n">
        <v>4</v>
      </c>
      <c r="I15" s="32">
        <f>IFERROR(INDEX(DB1!$C$9:$C$108,MATCH(H15,DB1!$T$9:$T$108,0)),"")</f>
        <v/>
      </c>
      <c r="J15" s="33">
        <f>IFERROR(INDEX(DB1!$B$9:$B$108,MATCH(H15,DB1!$T$9:$T$108,0)),"")</f>
        <v/>
      </c>
      <c r="K15" s="36">
        <f>IFERROR(INDEX(DB1!$P$9:$P$108,MATCH(H15,DB1!$T$9:$T$108,0)),"")</f>
        <v/>
      </c>
    </row>
    <row r="16">
      <c r="B16" s="25" t="n">
        <v>5</v>
      </c>
      <c r="C16" s="26">
        <f>IFERROR(INDEX(DB1!$C$9:$C$108,MATCH(B16,DB1!$S$9:$S$108,0)),"")</f>
        <v/>
      </c>
      <c r="D16" s="27">
        <f>IFERROR(INDEX(DB1!$B$9:$B$108,MATCH(B16,DB1!$S$9:$S$108,0)),"")</f>
        <v/>
      </c>
      <c r="E16" s="28">
        <f>IFERROR(INDEX(DB1!$P$9:$P$108,MATCH(B16,DB1!$S$9:$S$108,0)),"")</f>
        <v/>
      </c>
      <c r="F16" s="29">
        <f>IFERROR(INDEX(DB1!$R$9:$R$108,MATCH(B16,DB1!$S$9:$S$108,0)),"")</f>
        <v/>
      </c>
      <c r="H16" s="25" t="n">
        <v>5</v>
      </c>
      <c r="I16" s="26">
        <f>IFERROR(INDEX(DB1!$C$9:$C$108,MATCH(H16,DB1!$T$9:$T$108,0)),"")</f>
        <v/>
      </c>
      <c r="J16" s="27">
        <f>IFERROR(INDEX(DB1!$B$9:$B$108,MATCH(H16,DB1!$T$9:$T$108,0)),"")</f>
        <v/>
      </c>
      <c r="K16" s="30">
        <f>IFERROR(INDEX(DB1!$P$9:$P$108,MATCH(H16,DB1!$T$9:$T$108,0)),"")</f>
        <v/>
      </c>
    </row>
    <row r="17">
      <c r="B17" s="31" t="n">
        <v>6</v>
      </c>
      <c r="C17" s="32">
        <f>IFERROR(INDEX(DB1!$C$9:$C$108,MATCH(B17,DB1!$S$9:$S$108,0)),"")</f>
        <v/>
      </c>
      <c r="D17" s="33">
        <f>IFERROR(INDEX(DB1!$B$9:$B$108,MATCH(B17,DB1!$S$9:$S$108,0)),"")</f>
        <v/>
      </c>
      <c r="E17" s="34">
        <f>IFERROR(INDEX(DB1!$P$9:$P$108,MATCH(B17,DB1!$S$9:$S$108,0)),"")</f>
        <v/>
      </c>
      <c r="F17" s="35">
        <f>IFERROR(INDEX(DB1!$R$9:$R$108,MATCH(B17,DB1!$S$9:$S$108,0)),"")</f>
        <v/>
      </c>
      <c r="H17" s="31" t="n">
        <v>6</v>
      </c>
      <c r="I17" s="32">
        <f>IFERROR(INDEX(DB1!$C$9:$C$108,MATCH(H17,DB1!$T$9:$T$108,0)),"")</f>
        <v/>
      </c>
      <c r="J17" s="33">
        <f>IFERROR(INDEX(DB1!$B$9:$B$108,MATCH(H17,DB1!$T$9:$T$108,0)),"")</f>
        <v/>
      </c>
      <c r="K17" s="36">
        <f>IFERROR(INDEX(DB1!$P$9:$P$108,MATCH(H17,DB1!$T$9:$T$108,0)),"")</f>
        <v/>
      </c>
    </row>
    <row r="18">
      <c r="B18" s="25" t="n">
        <v>7</v>
      </c>
      <c r="C18" s="26">
        <f>IFERROR(INDEX(DB1!$C$9:$C$108,MATCH(B18,DB1!$S$9:$S$108,0)),"")</f>
        <v/>
      </c>
      <c r="D18" s="27">
        <f>IFERROR(INDEX(DB1!$B$9:$B$108,MATCH(B18,DB1!$S$9:$S$108,0)),"")</f>
        <v/>
      </c>
      <c r="E18" s="28">
        <f>IFERROR(INDEX(DB1!$P$9:$P$108,MATCH(B18,DB1!$S$9:$S$108,0)),"")</f>
        <v/>
      </c>
      <c r="F18" s="29">
        <f>IFERROR(INDEX(DB1!$R$9:$R$108,MATCH(B18,DB1!$S$9:$S$108,0)),"")</f>
        <v/>
      </c>
      <c r="H18" s="25" t="n">
        <v>7</v>
      </c>
      <c r="I18" s="26">
        <f>IFERROR(INDEX(DB1!$C$9:$C$108,MATCH(H18,DB1!$T$9:$T$108,0)),"")</f>
        <v/>
      </c>
      <c r="J18" s="27">
        <f>IFERROR(INDEX(DB1!$B$9:$B$108,MATCH(H18,DB1!$T$9:$T$108,0)),"")</f>
        <v/>
      </c>
      <c r="K18" s="30">
        <f>IFERROR(INDEX(DB1!$P$9:$P$108,MATCH(H18,DB1!$T$9:$T$108,0)),"")</f>
        <v/>
      </c>
    </row>
    <row r="19">
      <c r="B19" s="31" t="n">
        <v>8</v>
      </c>
      <c r="C19" s="32">
        <f>IFERROR(INDEX(DB1!$C$9:$C$108,MATCH(B19,DB1!$S$9:$S$108,0)),"")</f>
        <v/>
      </c>
      <c r="D19" s="33">
        <f>IFERROR(INDEX(DB1!$B$9:$B$108,MATCH(B19,DB1!$S$9:$S$108,0)),"")</f>
        <v/>
      </c>
      <c r="E19" s="34">
        <f>IFERROR(INDEX(DB1!$P$9:$P$108,MATCH(B19,DB1!$S$9:$S$108,0)),"")</f>
        <v/>
      </c>
      <c r="F19" s="35">
        <f>IFERROR(INDEX(DB1!$R$9:$R$108,MATCH(B19,DB1!$S$9:$S$108,0)),"")</f>
        <v/>
      </c>
      <c r="H19" s="31" t="n">
        <v>8</v>
      </c>
      <c r="I19" s="32">
        <f>IFERROR(INDEX(DB1!$C$9:$C$108,MATCH(H19,DB1!$T$9:$T$108,0)),"")</f>
        <v/>
      </c>
      <c r="J19" s="33">
        <f>IFERROR(INDEX(DB1!$B$9:$B$108,MATCH(H19,DB1!$T$9:$T$108,0)),"")</f>
        <v/>
      </c>
      <c r="K19" s="36">
        <f>IFERROR(INDEX(DB1!$P$9:$P$108,MATCH(H19,DB1!$T$9:$T$108,0)),"")</f>
        <v/>
      </c>
    </row>
    <row r="20">
      <c r="B20" s="25" t="n">
        <v>9</v>
      </c>
      <c r="C20" s="26">
        <f>IFERROR(INDEX(DB1!$C$9:$C$108,MATCH(B20,DB1!$S$9:$S$108,0)),"")</f>
        <v/>
      </c>
      <c r="D20" s="27">
        <f>IFERROR(INDEX(DB1!$B$9:$B$108,MATCH(B20,DB1!$S$9:$S$108,0)),"")</f>
        <v/>
      </c>
      <c r="E20" s="28">
        <f>IFERROR(INDEX(DB1!$P$9:$P$108,MATCH(B20,DB1!$S$9:$S$108,0)),"")</f>
        <v/>
      </c>
      <c r="F20" s="29">
        <f>IFERROR(INDEX(DB1!$R$9:$R$108,MATCH(B20,DB1!$S$9:$S$108,0)),"")</f>
        <v/>
      </c>
      <c r="H20" s="25" t="n">
        <v>9</v>
      </c>
      <c r="I20" s="26">
        <f>IFERROR(INDEX(DB1!$C$9:$C$108,MATCH(H20,DB1!$T$9:$T$108,0)),"")</f>
        <v/>
      </c>
      <c r="J20" s="27">
        <f>IFERROR(INDEX(DB1!$B$9:$B$108,MATCH(H20,DB1!$T$9:$T$108,0)),"")</f>
        <v/>
      </c>
      <c r="K20" s="30">
        <f>IFERROR(INDEX(DB1!$P$9:$P$108,MATCH(H20,DB1!$T$9:$T$108,0)),"")</f>
        <v/>
      </c>
    </row>
    <row r="21">
      <c r="B21" s="31" t="n">
        <v>10</v>
      </c>
      <c r="C21" s="32">
        <f>IFERROR(INDEX(DB1!$C$9:$C$108,MATCH(B21,DB1!$S$9:$S$108,0)),"")</f>
        <v/>
      </c>
      <c r="D21" s="33">
        <f>IFERROR(INDEX(DB1!$B$9:$B$108,MATCH(B21,DB1!$S$9:$S$108,0)),"")</f>
        <v/>
      </c>
      <c r="E21" s="34">
        <f>IFERROR(INDEX(DB1!$P$9:$P$108,MATCH(B21,DB1!$S$9:$S$108,0)),"")</f>
        <v/>
      </c>
      <c r="F21" s="35">
        <f>IFERROR(INDEX(DB1!$R$9:$R$108,MATCH(B21,DB1!$S$9:$S$108,0)),"")</f>
        <v/>
      </c>
      <c r="H21" s="31" t="n">
        <v>10</v>
      </c>
      <c r="I21" s="32">
        <f>IFERROR(INDEX(DB1!$C$9:$C$108,MATCH(H21,DB1!$T$9:$T$108,0)),"")</f>
        <v/>
      </c>
      <c r="J21" s="33">
        <f>IFERROR(INDEX(DB1!$B$9:$B$108,MATCH(H21,DB1!$T$9:$T$108,0)),"")</f>
        <v/>
      </c>
      <c r="K21" s="36">
        <f>IFERROR(INDEX(DB1!$P$9:$P$108,MATCH(H21,DB1!$T$9:$T$108,0)),"")</f>
        <v/>
      </c>
    </row>
    <row r="24" ht="20" customHeight="1">
      <c r="B24" s="22" t="inlineStr">
        <is>
          <t>🏢  KUNDEN-RANKING NACH DB1 (JAHR)</t>
        </is>
      </c>
    </row>
    <row r="25" ht="30" customHeight="1">
      <c r="B25" s="24" t="inlineStr">
        <is>
          <t>Rang</t>
        </is>
      </c>
      <c r="C25" s="24" t="inlineStr">
        <is>
          <t>Kunde</t>
        </is>
      </c>
      <c r="D25" s="37" t="n"/>
      <c r="E25" s="24" t="inlineStr">
        <is>
          <t>Verrechnung Jahr</t>
        </is>
      </c>
      <c r="F25" s="24" t="inlineStr">
        <is>
          <t>DB1 Jahr</t>
        </is>
      </c>
      <c r="G25" s="24" t="inlineStr">
        <is>
          <t>Marge %</t>
        </is>
      </c>
    </row>
    <row r="26">
      <c r="B26" s="25" t="n">
        <v>1</v>
      </c>
      <c r="C26" s="38">
        <f>IFERROR(INDEX('Kunden-Auswertung'!$A$4:$A$13,MATCH(B26,'Kunden-Auswertung'!$G$4:$G$13,0)),"")</f>
        <v/>
      </c>
      <c r="D26" s="39" t="n"/>
      <c r="E26" s="40">
        <f>IFERROR(INDEX('Kunden-Auswertung'!$B$4:$B$13,MATCH(B26,'Kunden-Auswertung'!$G$4:$G$13,0)),"")</f>
        <v/>
      </c>
      <c r="F26" s="28">
        <f>IFERROR(INDEX('Kunden-Auswertung'!$E$4:$E$13,MATCH(B26,'Kunden-Auswertung'!$G$4:$G$13,0)),"")</f>
        <v/>
      </c>
      <c r="G26" s="29">
        <f>IFERROR(INDEX('Kunden-Auswertung'!$F$4:$F$13,MATCH(B26,'Kunden-Auswertung'!$G$4:$G$13,0)),"")</f>
        <v/>
      </c>
    </row>
    <row r="27">
      <c r="B27" s="31" t="n">
        <v>2</v>
      </c>
      <c r="C27" s="41">
        <f>IFERROR(INDEX('Kunden-Auswertung'!$A$4:$A$13,MATCH(B27,'Kunden-Auswertung'!$G$4:$G$13,0)),"")</f>
        <v/>
      </c>
      <c r="D27" s="42" t="n"/>
      <c r="E27" s="43">
        <f>IFERROR(INDEX('Kunden-Auswertung'!$B$4:$B$13,MATCH(B27,'Kunden-Auswertung'!$G$4:$G$13,0)),"")</f>
        <v/>
      </c>
      <c r="F27" s="34">
        <f>IFERROR(INDEX('Kunden-Auswertung'!$E$4:$E$13,MATCH(B27,'Kunden-Auswertung'!$G$4:$G$13,0)),"")</f>
        <v/>
      </c>
      <c r="G27" s="35">
        <f>IFERROR(INDEX('Kunden-Auswertung'!$F$4:$F$13,MATCH(B27,'Kunden-Auswertung'!$G$4:$G$13,0)),"")</f>
        <v/>
      </c>
    </row>
    <row r="28">
      <c r="B28" s="25" t="n">
        <v>3</v>
      </c>
      <c r="C28" s="38">
        <f>IFERROR(INDEX('Kunden-Auswertung'!$A$4:$A$13,MATCH(B28,'Kunden-Auswertung'!$G$4:$G$13,0)),"")</f>
        <v/>
      </c>
      <c r="D28" s="39" t="n"/>
      <c r="E28" s="40">
        <f>IFERROR(INDEX('Kunden-Auswertung'!$B$4:$B$13,MATCH(B28,'Kunden-Auswertung'!$G$4:$G$13,0)),"")</f>
        <v/>
      </c>
      <c r="F28" s="28">
        <f>IFERROR(INDEX('Kunden-Auswertung'!$E$4:$E$13,MATCH(B28,'Kunden-Auswertung'!$G$4:$G$13,0)),"")</f>
        <v/>
      </c>
      <c r="G28" s="29">
        <f>IFERROR(INDEX('Kunden-Auswertung'!$F$4:$F$13,MATCH(B28,'Kunden-Auswertung'!$G$4:$G$13,0)),"")</f>
        <v/>
      </c>
    </row>
    <row r="29">
      <c r="B29" s="31" t="n">
        <v>4</v>
      </c>
      <c r="C29" s="41">
        <f>IFERROR(INDEX('Kunden-Auswertung'!$A$4:$A$13,MATCH(B29,'Kunden-Auswertung'!$G$4:$G$13,0)),"")</f>
        <v/>
      </c>
      <c r="D29" s="42" t="n"/>
      <c r="E29" s="43">
        <f>IFERROR(INDEX('Kunden-Auswertung'!$B$4:$B$13,MATCH(B29,'Kunden-Auswertung'!$G$4:$G$13,0)),"")</f>
        <v/>
      </c>
      <c r="F29" s="34">
        <f>IFERROR(INDEX('Kunden-Auswertung'!$E$4:$E$13,MATCH(B29,'Kunden-Auswertung'!$G$4:$G$13,0)),"")</f>
        <v/>
      </c>
      <c r="G29" s="35">
        <f>IFERROR(INDEX('Kunden-Auswertung'!$F$4:$F$13,MATCH(B29,'Kunden-Auswertung'!$G$4:$G$13,0)),"")</f>
        <v/>
      </c>
    </row>
    <row r="30">
      <c r="B30" s="25" t="n">
        <v>5</v>
      </c>
      <c r="C30" s="38">
        <f>IFERROR(INDEX('Kunden-Auswertung'!$A$4:$A$13,MATCH(B30,'Kunden-Auswertung'!$G$4:$G$13,0)),"")</f>
        <v/>
      </c>
      <c r="D30" s="39" t="n"/>
      <c r="E30" s="40">
        <f>IFERROR(INDEX('Kunden-Auswertung'!$B$4:$B$13,MATCH(B30,'Kunden-Auswertung'!$G$4:$G$13,0)),"")</f>
        <v/>
      </c>
      <c r="F30" s="28">
        <f>IFERROR(INDEX('Kunden-Auswertung'!$E$4:$E$13,MATCH(B30,'Kunden-Auswertung'!$G$4:$G$13,0)),"")</f>
        <v/>
      </c>
      <c r="G30" s="29">
        <f>IFERROR(INDEX('Kunden-Auswertung'!$F$4:$F$13,MATCH(B30,'Kunden-Auswertung'!$G$4:$G$13,0)),"")</f>
        <v/>
      </c>
    </row>
    <row r="31">
      <c r="B31" s="31" t="n">
        <v>6</v>
      </c>
      <c r="C31" s="41">
        <f>IFERROR(INDEX('Kunden-Auswertung'!$A$4:$A$13,MATCH(B31,'Kunden-Auswertung'!$G$4:$G$13,0)),"")</f>
        <v/>
      </c>
      <c r="D31" s="42" t="n"/>
      <c r="E31" s="43">
        <f>IFERROR(INDEX('Kunden-Auswertung'!$B$4:$B$13,MATCH(B31,'Kunden-Auswertung'!$G$4:$G$13,0)),"")</f>
        <v/>
      </c>
      <c r="F31" s="34">
        <f>IFERROR(INDEX('Kunden-Auswertung'!$E$4:$E$13,MATCH(B31,'Kunden-Auswertung'!$G$4:$G$13,0)),"")</f>
        <v/>
      </c>
      <c r="G31" s="35">
        <f>IFERROR(INDEX('Kunden-Auswertung'!$F$4:$F$13,MATCH(B31,'Kunden-Auswertung'!$G$4:$G$13,0)),"")</f>
        <v/>
      </c>
    </row>
    <row r="32">
      <c r="B32" s="25" t="n">
        <v>7</v>
      </c>
      <c r="C32" s="38">
        <f>IFERROR(INDEX('Kunden-Auswertung'!$A$4:$A$13,MATCH(B32,'Kunden-Auswertung'!$G$4:$G$13,0)),"")</f>
        <v/>
      </c>
      <c r="D32" s="39" t="n"/>
      <c r="E32" s="40">
        <f>IFERROR(INDEX('Kunden-Auswertung'!$B$4:$B$13,MATCH(B32,'Kunden-Auswertung'!$G$4:$G$13,0)),"")</f>
        <v/>
      </c>
      <c r="F32" s="28">
        <f>IFERROR(INDEX('Kunden-Auswertung'!$E$4:$E$13,MATCH(B32,'Kunden-Auswertung'!$G$4:$G$13,0)),"")</f>
        <v/>
      </c>
      <c r="G32" s="29">
        <f>IFERROR(INDEX('Kunden-Auswertung'!$F$4:$F$13,MATCH(B32,'Kunden-Auswertung'!$G$4:$G$13,0)),"")</f>
        <v/>
      </c>
    </row>
    <row r="33">
      <c r="B33" s="31" t="n">
        <v>8</v>
      </c>
      <c r="C33" s="41">
        <f>IFERROR(INDEX('Kunden-Auswertung'!$A$4:$A$13,MATCH(B33,'Kunden-Auswertung'!$G$4:$G$13,0)),"")</f>
        <v/>
      </c>
      <c r="D33" s="42" t="n"/>
      <c r="E33" s="43">
        <f>IFERROR(INDEX('Kunden-Auswertung'!$B$4:$B$13,MATCH(B33,'Kunden-Auswertung'!$G$4:$G$13,0)),"")</f>
        <v/>
      </c>
      <c r="F33" s="34">
        <f>IFERROR(INDEX('Kunden-Auswertung'!$E$4:$E$13,MATCH(B33,'Kunden-Auswertung'!$G$4:$G$13,0)),"")</f>
        <v/>
      </c>
      <c r="G33" s="35">
        <f>IFERROR(INDEX('Kunden-Auswertung'!$F$4:$F$13,MATCH(B33,'Kunden-Auswertung'!$G$4:$G$13,0)),"")</f>
        <v/>
      </c>
    </row>
    <row r="34">
      <c r="B34" s="25" t="n">
        <v>9</v>
      </c>
      <c r="C34" s="38">
        <f>IFERROR(INDEX('Kunden-Auswertung'!$A$4:$A$13,MATCH(B34,'Kunden-Auswertung'!$G$4:$G$13,0)),"")</f>
        <v/>
      </c>
      <c r="D34" s="39" t="n"/>
      <c r="E34" s="40">
        <f>IFERROR(INDEX('Kunden-Auswertung'!$B$4:$B$13,MATCH(B34,'Kunden-Auswertung'!$G$4:$G$13,0)),"")</f>
        <v/>
      </c>
      <c r="F34" s="28">
        <f>IFERROR(INDEX('Kunden-Auswertung'!$E$4:$E$13,MATCH(B34,'Kunden-Auswertung'!$G$4:$G$13,0)),"")</f>
        <v/>
      </c>
      <c r="G34" s="29">
        <f>IFERROR(INDEX('Kunden-Auswertung'!$F$4:$F$13,MATCH(B34,'Kunden-Auswertung'!$G$4:$G$13,0)),"")</f>
        <v/>
      </c>
    </row>
    <row r="35">
      <c r="B35" s="31" t="n">
        <v>10</v>
      </c>
      <c r="C35" s="41">
        <f>IFERROR(INDEX('Kunden-Auswertung'!$A$4:$A$13,MATCH(B35,'Kunden-Auswertung'!$G$4:$G$13,0)),"")</f>
        <v/>
      </c>
      <c r="D35" s="42" t="n"/>
      <c r="E35" s="43">
        <f>IFERROR(INDEX('Kunden-Auswertung'!$B$4:$B$13,MATCH(B35,'Kunden-Auswertung'!$G$4:$G$13,0)),"")</f>
        <v/>
      </c>
      <c r="F35" s="34">
        <f>IFERROR(INDEX('Kunden-Auswertung'!$E$4:$E$13,MATCH(B35,'Kunden-Auswertung'!$G$4:$G$13,0)),"")</f>
        <v/>
      </c>
      <c r="G35" s="35">
        <f>IFERROR(INDEX('Kunden-Auswertung'!$F$4:$F$13,MATCH(B35,'Kunden-Auswertung'!$G$4:$G$13,0)),"")</f>
        <v/>
      </c>
    </row>
    <row r="37" ht="14" customHeight="1">
      <c r="B37" s="44" t="inlineStr">
        <is>
          <t>Hinweis: Kunden- und Mitarbeiternamen in 'Stammdaten' pflegen. Verrechnung &amp; Selbstkosten monatlich in den jeweiligen Blättern eintragen — Rückstellungen und DB1 werden automatisch berechnet.</t>
        </is>
      </c>
    </row>
    <row r="58" ht="20" customHeight="1">
      <c r="B58" s="22" t="inlineStr">
        <is>
          <t>📈  MONATSENTWICKLUNG — UMSATZ, SELBSTKOSTEN, RÜCKSTELLUNGEN &amp; DB1</t>
        </is>
      </c>
    </row>
  </sheetData>
  <mergeCells count="38">
    <mergeCell ref="C34:D34"/>
    <mergeCell ref="C30:D30"/>
    <mergeCell ref="B7:C7"/>
    <mergeCell ref="N7:O7"/>
    <mergeCell ref="C33:D33"/>
    <mergeCell ref="E5:F5"/>
    <mergeCell ref="K5:L5"/>
    <mergeCell ref="B24:K24"/>
    <mergeCell ref="C26:D26"/>
    <mergeCell ref="E8:F8"/>
    <mergeCell ref="C35:D35"/>
    <mergeCell ref="C29:D29"/>
    <mergeCell ref="A2:O2"/>
    <mergeCell ref="H6:I6"/>
    <mergeCell ref="C25:D25"/>
    <mergeCell ref="N5:O5"/>
    <mergeCell ref="C31:D31"/>
    <mergeCell ref="B8:C8"/>
    <mergeCell ref="N8:O8"/>
    <mergeCell ref="H10:K10"/>
    <mergeCell ref="E6:F6"/>
    <mergeCell ref="K8:L8"/>
    <mergeCell ref="H7:I7"/>
    <mergeCell ref="B10:F10"/>
    <mergeCell ref="C27:D27"/>
    <mergeCell ref="B58:K58"/>
    <mergeCell ref="B6:C6"/>
    <mergeCell ref="K7:L7"/>
    <mergeCell ref="C32:D32"/>
    <mergeCell ref="E7:F7"/>
    <mergeCell ref="B5:C5"/>
    <mergeCell ref="N6:O6"/>
    <mergeCell ref="A1:O1"/>
    <mergeCell ref="C28:D28"/>
    <mergeCell ref="H5:I5"/>
    <mergeCell ref="H8:I8"/>
    <mergeCell ref="K6:L6"/>
    <mergeCell ref="B37:K37"/>
  </mergeCells>
  <conditionalFormatting sqref="E12:E21">
    <cfRule type="dataBar" priority="1">
      <dataBar showValue="1">
        <cfvo type="min"/>
        <cfvo type="max"/>
        <color rgb="002E7D46"/>
      </dataBar>
    </cfRule>
  </conditionalFormatting>
  <conditionalFormatting sqref="K12:K21">
    <cfRule type="cellIs" priority="2" operator="lessThan" dxfId="0">
      <formula>0</formula>
    </cfRule>
  </conditionalFormatting>
  <conditionalFormatting sqref="F26:F35">
    <cfRule type="colorScale" priority="3">
      <colorScale>
        <cfvo type="min"/>
        <cfvo type="percentile" val="50"/>
        <cfvo type="max"/>
        <color rgb="00F2B6A5"/>
        <color rgb="00FBEBC2"/>
        <color rgb="00A9D3B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120F"/>
    <outlinePr summaryBelow="1" summaryRight="1"/>
    <pageSetUpPr/>
  </sheetPr>
  <dimension ref="A1:D1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4" customWidth="1" min="4" max="4"/>
  </cols>
  <sheetData>
    <row r="1" ht="26" customHeight="1">
      <c r="A1" s="1" t="inlineStr">
        <is>
          <t>STAMMDATEN — Kunden &amp; Mitarbeiter</t>
        </is>
      </c>
      <c r="B1" s="2" t="n"/>
      <c r="C1" s="2" t="n"/>
      <c r="D1" s="2" t="n"/>
    </row>
    <row r="2" ht="15" customHeight="1">
      <c r="A2" s="3" t="inlineStr">
        <is>
          <t>Kunden- und Mitarbeiternamen selbst ausfüllen · Rückstellungssätze zentral festlegen</t>
        </is>
      </c>
      <c r="B2" s="4" t="n"/>
      <c r="C2" s="4" t="n"/>
      <c r="D2" s="4" t="n"/>
    </row>
    <row r="3" ht="6" customHeight="1"/>
    <row r="4">
      <c r="A4" s="45" t="inlineStr">
        <is>
          <t>Einstellungen · Rückstellungssätze</t>
        </is>
      </c>
    </row>
    <row r="5">
      <c r="A5" s="46" t="inlineStr">
        <is>
          <t>Rückstellungssatz Urlaubsgeld (Anteil vom Monats-Selbstkostensatz)</t>
        </is>
      </c>
      <c r="C5" s="47" t="n">
        <v>0.08333333333333333</v>
      </c>
    </row>
    <row r="6">
      <c r="A6" s="46" t="inlineStr">
        <is>
          <t>Rückstellungssatz Weihnachtsgeld (Anteil vom Monats-Selbstkostensatz)</t>
        </is>
      </c>
      <c r="C6" s="47" t="n">
        <v>0.08333333333333333</v>
      </c>
    </row>
    <row r="7" ht="14" customHeight="1">
      <c r="A7" s="48" t="inlineStr">
        <is>
          <t xml:space="preserve"> Eingabefeld (bitte ausfüllen)</t>
        </is>
      </c>
    </row>
    <row r="8" ht="30" customHeight="1">
      <c r="A8" s="49" t="inlineStr">
        <is>
          <t>ID</t>
        </is>
      </c>
      <c r="B8" s="49" t="inlineStr">
        <is>
          <t>Kunde</t>
        </is>
      </c>
      <c r="C8" s="49" t="inlineStr">
        <is>
          <t>Mitarbeiter</t>
        </is>
      </c>
      <c r="D8" s="49" t="inlineStr">
        <is>
          <t>Rolle / Position</t>
        </is>
      </c>
    </row>
    <row r="9">
      <c r="A9" s="50" t="n">
        <v>1</v>
      </c>
      <c r="B9" s="51" t="inlineStr">
        <is>
          <t>Alpina Logistik GmbH</t>
        </is>
      </c>
      <c r="C9" s="52" t="inlineStr">
        <is>
          <t>Julia Wagner</t>
        </is>
      </c>
      <c r="D9" s="53" t="inlineStr">
        <is>
          <t>Versandmitarbeiter</t>
        </is>
      </c>
    </row>
    <row r="10">
      <c r="A10" s="50" t="n">
        <v>2</v>
      </c>
      <c r="B10" s="51" t="inlineStr">
        <is>
          <t>Alpina Logistik GmbH</t>
        </is>
      </c>
      <c r="C10" s="52" t="inlineStr">
        <is>
          <t>Jasmin Berger</t>
        </is>
      </c>
      <c r="D10" s="53" t="inlineStr">
        <is>
          <t>Versandmitarbeiter</t>
        </is>
      </c>
    </row>
    <row r="11">
      <c r="A11" s="50" t="n">
        <v>3</v>
      </c>
      <c r="B11" s="51" t="inlineStr">
        <is>
          <t>Alpina Logistik GmbH</t>
        </is>
      </c>
      <c r="C11" s="52" t="inlineStr">
        <is>
          <t>Martin Reiter</t>
        </is>
      </c>
      <c r="D11" s="53" t="inlineStr">
        <is>
          <t>Versandmitarbeiter</t>
        </is>
      </c>
    </row>
    <row r="12">
      <c r="A12" s="50" t="n">
        <v>4</v>
      </c>
      <c r="B12" s="51" t="inlineStr">
        <is>
          <t>Alpina Logistik GmbH</t>
        </is>
      </c>
      <c r="C12" s="52" t="inlineStr">
        <is>
          <t>Lisa Schwarz</t>
        </is>
      </c>
      <c r="D12" s="53" t="inlineStr">
        <is>
          <t>Kommissionierer</t>
        </is>
      </c>
    </row>
    <row r="13">
      <c r="A13" s="50" t="n">
        <v>5</v>
      </c>
      <c r="B13" s="51" t="inlineStr">
        <is>
          <t>Alpina Logistik GmbH</t>
        </is>
      </c>
      <c r="C13" s="52" t="inlineStr">
        <is>
          <t>Katharina Hofer</t>
        </is>
      </c>
      <c r="D13" s="53" t="inlineStr">
        <is>
          <t>Staplerfahrer</t>
        </is>
      </c>
    </row>
    <row r="14">
      <c r="A14" s="50" t="n">
        <v>6</v>
      </c>
      <c r="B14" s="51" t="inlineStr">
        <is>
          <t>Alpina Logistik GmbH</t>
        </is>
      </c>
      <c r="C14" s="52" t="inlineStr">
        <is>
          <t>Jasmin Huber</t>
        </is>
      </c>
      <c r="D14" s="53" t="inlineStr">
        <is>
          <t>Lagerlogistiker</t>
        </is>
      </c>
    </row>
    <row r="15">
      <c r="A15" s="50" t="n">
        <v>7</v>
      </c>
      <c r="B15" s="51" t="inlineStr">
        <is>
          <t>Alpina Logistik GmbH</t>
        </is>
      </c>
      <c r="C15" s="52" t="inlineStr">
        <is>
          <t>Andreas Egger</t>
        </is>
      </c>
      <c r="D15" s="53" t="inlineStr">
        <is>
          <t>Kommissionierer</t>
        </is>
      </c>
    </row>
    <row r="16">
      <c r="A16" s="50" t="n">
        <v>8</v>
      </c>
      <c r="B16" s="51" t="inlineStr">
        <is>
          <t>Alpina Logistik GmbH</t>
        </is>
      </c>
      <c r="C16" s="52" t="inlineStr">
        <is>
          <t>Alexander Winkler</t>
        </is>
      </c>
      <c r="D16" s="53" t="inlineStr">
        <is>
          <t>Versandmitarbeiter</t>
        </is>
      </c>
    </row>
    <row r="17">
      <c r="A17" s="50" t="n">
        <v>9</v>
      </c>
      <c r="B17" s="51" t="inlineStr">
        <is>
          <t>Alpina Logistik GmbH</t>
        </is>
      </c>
      <c r="C17" s="52" t="inlineStr">
        <is>
          <t>Christian Egger</t>
        </is>
      </c>
      <c r="D17" s="53" t="inlineStr">
        <is>
          <t>Lagerlogistiker</t>
        </is>
      </c>
    </row>
    <row r="18">
      <c r="A18" s="50" t="n">
        <v>10</v>
      </c>
      <c r="B18" s="51" t="inlineStr">
        <is>
          <t>Alpina Logistik GmbH</t>
        </is>
      </c>
      <c r="C18" s="52" t="inlineStr">
        <is>
          <t>Florian Winkler</t>
        </is>
      </c>
      <c r="D18" s="53" t="inlineStr">
        <is>
          <t>Lagerlogistiker</t>
        </is>
      </c>
    </row>
    <row r="19">
      <c r="A19" s="54" t="n">
        <v>11</v>
      </c>
      <c r="B19" s="55" t="inlineStr">
        <is>
          <t>Bergmüller Bau AG</t>
        </is>
      </c>
      <c r="C19" s="56" t="inlineStr">
        <is>
          <t>Lena Auer</t>
        </is>
      </c>
      <c r="D19" s="57" t="inlineStr">
        <is>
          <t>Poliersassistent</t>
        </is>
      </c>
    </row>
    <row r="20">
      <c r="A20" s="58" t="n">
        <v>12</v>
      </c>
      <c r="B20" s="59" t="inlineStr">
        <is>
          <t>Bergmüller Bau AG</t>
        </is>
      </c>
      <c r="C20" s="60" t="inlineStr">
        <is>
          <t>Laura Aigner</t>
        </is>
      </c>
      <c r="D20" s="61" t="inlineStr">
        <is>
          <t>Poliersassistent</t>
        </is>
      </c>
    </row>
    <row r="21">
      <c r="A21" s="58" t="n">
        <v>13</v>
      </c>
      <c r="B21" s="59" t="inlineStr">
        <is>
          <t>Bergmüller Bau AG</t>
        </is>
      </c>
      <c r="C21" s="60" t="inlineStr">
        <is>
          <t>Michael Wallner</t>
        </is>
      </c>
      <c r="D21" s="61" t="inlineStr">
        <is>
          <t>Maurer</t>
        </is>
      </c>
    </row>
    <row r="22">
      <c r="A22" s="58" t="n">
        <v>14</v>
      </c>
      <c r="B22" s="59" t="inlineStr">
        <is>
          <t>Bergmüller Bau AG</t>
        </is>
      </c>
      <c r="C22" s="60" t="inlineStr">
        <is>
          <t>Daniel Weber</t>
        </is>
      </c>
      <c r="D22" s="61" t="inlineStr">
        <is>
          <t>Baugeräteführer</t>
        </is>
      </c>
    </row>
    <row r="23">
      <c r="A23" s="58" t="n">
        <v>15</v>
      </c>
      <c r="B23" s="59" t="inlineStr">
        <is>
          <t>Bergmüller Bau AG</t>
        </is>
      </c>
      <c r="C23" s="60" t="inlineStr">
        <is>
          <t>Vanessa Reiter</t>
        </is>
      </c>
      <c r="D23" s="61" t="inlineStr">
        <is>
          <t>Maurer</t>
        </is>
      </c>
    </row>
    <row r="24">
      <c r="A24" s="58" t="n">
        <v>16</v>
      </c>
      <c r="B24" s="59" t="inlineStr">
        <is>
          <t>Bergmüller Bau AG</t>
        </is>
      </c>
      <c r="C24" s="60" t="inlineStr">
        <is>
          <t>Vanessa Wimmer</t>
        </is>
      </c>
      <c r="D24" s="61" t="inlineStr">
        <is>
          <t>Baufacharbeiter</t>
        </is>
      </c>
    </row>
    <row r="25">
      <c r="A25" s="58" t="n">
        <v>17</v>
      </c>
      <c r="B25" s="59" t="inlineStr">
        <is>
          <t>Bergmüller Bau AG</t>
        </is>
      </c>
      <c r="C25" s="60" t="inlineStr">
        <is>
          <t>Vanessa Huber</t>
        </is>
      </c>
      <c r="D25" s="61" t="inlineStr">
        <is>
          <t>Baufacharbeiter</t>
        </is>
      </c>
    </row>
    <row r="26">
      <c r="A26" s="58" t="n">
        <v>18</v>
      </c>
      <c r="B26" s="59" t="inlineStr">
        <is>
          <t>Bergmüller Bau AG</t>
        </is>
      </c>
      <c r="C26" s="60" t="inlineStr">
        <is>
          <t>Wolfgang Wallner</t>
        </is>
      </c>
      <c r="D26" s="61" t="inlineStr">
        <is>
          <t>Baugeräteführer</t>
        </is>
      </c>
    </row>
    <row r="27">
      <c r="A27" s="58" t="n">
        <v>19</v>
      </c>
      <c r="B27" s="59" t="inlineStr">
        <is>
          <t>Bergmüller Bau AG</t>
        </is>
      </c>
      <c r="C27" s="60" t="inlineStr">
        <is>
          <t>Nina Lang</t>
        </is>
      </c>
      <c r="D27" s="61" t="inlineStr">
        <is>
          <t>Schalungsbauer</t>
        </is>
      </c>
    </row>
    <row r="28">
      <c r="A28" s="58" t="n">
        <v>20</v>
      </c>
      <c r="B28" s="59" t="inlineStr">
        <is>
          <t>Bergmüller Bau AG</t>
        </is>
      </c>
      <c r="C28" s="60" t="inlineStr">
        <is>
          <t>Markus Hofer</t>
        </is>
      </c>
      <c r="D28" s="61" t="inlineStr">
        <is>
          <t>Maurer</t>
        </is>
      </c>
    </row>
    <row r="29">
      <c r="A29" s="62" t="n">
        <v>21</v>
      </c>
      <c r="B29" s="63" t="inlineStr">
        <is>
          <t>CaraTech Elektronik GmbH</t>
        </is>
      </c>
      <c r="C29" s="64" t="inlineStr">
        <is>
          <t>Patrick Moser</t>
        </is>
      </c>
      <c r="D29" s="65" t="inlineStr">
        <is>
          <t>SMD-Löter</t>
        </is>
      </c>
    </row>
    <row r="30">
      <c r="A30" s="50" t="n">
        <v>22</v>
      </c>
      <c r="B30" s="51" t="inlineStr">
        <is>
          <t>CaraTech Elektronik GmbH</t>
        </is>
      </c>
      <c r="C30" s="52" t="inlineStr">
        <is>
          <t>Sophie Fuchs</t>
        </is>
      </c>
      <c r="D30" s="53" t="inlineStr">
        <is>
          <t>Elektromonteur</t>
        </is>
      </c>
    </row>
    <row r="31">
      <c r="A31" s="50" t="n">
        <v>23</v>
      </c>
      <c r="B31" s="51" t="inlineStr">
        <is>
          <t>CaraTech Elektronik GmbH</t>
        </is>
      </c>
      <c r="C31" s="52" t="inlineStr">
        <is>
          <t>Alexander Pichler</t>
        </is>
      </c>
      <c r="D31" s="53" t="inlineStr">
        <is>
          <t>Fertigungshelfer</t>
        </is>
      </c>
    </row>
    <row r="32">
      <c r="A32" s="50" t="n">
        <v>24</v>
      </c>
      <c r="B32" s="51" t="inlineStr">
        <is>
          <t>CaraTech Elektronik GmbH</t>
        </is>
      </c>
      <c r="C32" s="52" t="inlineStr">
        <is>
          <t>Alexander Lang</t>
        </is>
      </c>
      <c r="D32" s="53" t="inlineStr">
        <is>
          <t>Elektrokonstrukteur</t>
        </is>
      </c>
    </row>
    <row r="33">
      <c r="A33" s="50" t="n">
        <v>25</v>
      </c>
      <c r="B33" s="51" t="inlineStr">
        <is>
          <t>CaraTech Elektronik GmbH</t>
        </is>
      </c>
      <c r="C33" s="52" t="inlineStr">
        <is>
          <t>Claudia Bauer</t>
        </is>
      </c>
      <c r="D33" s="53" t="inlineStr">
        <is>
          <t>Fertigungshelfer</t>
        </is>
      </c>
    </row>
    <row r="34">
      <c r="A34" s="50" t="n">
        <v>26</v>
      </c>
      <c r="B34" s="51" t="inlineStr">
        <is>
          <t>CaraTech Elektronik GmbH</t>
        </is>
      </c>
      <c r="C34" s="52" t="inlineStr">
        <is>
          <t>Wolfgang Aigner</t>
        </is>
      </c>
      <c r="D34" s="53" t="inlineStr">
        <is>
          <t>Fertigungshelfer</t>
        </is>
      </c>
    </row>
    <row r="35">
      <c r="A35" s="50" t="n">
        <v>27</v>
      </c>
      <c r="B35" s="51" t="inlineStr">
        <is>
          <t>CaraTech Elektronik GmbH</t>
        </is>
      </c>
      <c r="C35" s="52" t="inlineStr">
        <is>
          <t>Sophie Berger</t>
        </is>
      </c>
      <c r="D35" s="53" t="inlineStr">
        <is>
          <t>Fertigungshelfer</t>
        </is>
      </c>
    </row>
    <row r="36">
      <c r="A36" s="50" t="n">
        <v>28</v>
      </c>
      <c r="B36" s="51" t="inlineStr">
        <is>
          <t>CaraTech Elektronik GmbH</t>
        </is>
      </c>
      <c r="C36" s="52" t="inlineStr">
        <is>
          <t>Simon Baumgartner</t>
        </is>
      </c>
      <c r="D36" s="53" t="inlineStr">
        <is>
          <t>SMD-Löter</t>
        </is>
      </c>
    </row>
    <row r="37">
      <c r="A37" s="50" t="n">
        <v>29</v>
      </c>
      <c r="B37" s="51" t="inlineStr">
        <is>
          <t>CaraTech Elektronik GmbH</t>
        </is>
      </c>
      <c r="C37" s="52" t="inlineStr">
        <is>
          <t>Vanessa Maier</t>
        </is>
      </c>
      <c r="D37" s="53" t="inlineStr">
        <is>
          <t>Fertigungshelfer</t>
        </is>
      </c>
    </row>
    <row r="38">
      <c r="A38" s="50" t="n">
        <v>30</v>
      </c>
      <c r="B38" s="51" t="inlineStr">
        <is>
          <t>CaraTech Elektronik GmbH</t>
        </is>
      </c>
      <c r="C38" s="52" t="inlineStr">
        <is>
          <t>Georg Winkler</t>
        </is>
      </c>
      <c r="D38" s="53" t="inlineStr">
        <is>
          <t>Elektrokonstrukteur</t>
        </is>
      </c>
    </row>
    <row r="39">
      <c r="A39" s="54" t="n">
        <v>31</v>
      </c>
      <c r="B39" s="55" t="inlineStr">
        <is>
          <t>Donauwind Energie GmbH</t>
        </is>
      </c>
      <c r="C39" s="56" t="inlineStr">
        <is>
          <t>Claudia Berger</t>
        </is>
      </c>
      <c r="D39" s="57" t="inlineStr">
        <is>
          <t>Messtechniker</t>
        </is>
      </c>
    </row>
    <row r="40">
      <c r="A40" s="58" t="n">
        <v>32</v>
      </c>
      <c r="B40" s="59" t="inlineStr">
        <is>
          <t>Donauwind Energie GmbH</t>
        </is>
      </c>
      <c r="C40" s="60" t="inlineStr">
        <is>
          <t>Sarah Auer</t>
        </is>
      </c>
      <c r="D40" s="61" t="inlineStr">
        <is>
          <t>Messtechniker</t>
        </is>
      </c>
    </row>
    <row r="41">
      <c r="A41" s="58" t="n">
        <v>33</v>
      </c>
      <c r="B41" s="59" t="inlineStr">
        <is>
          <t>Donauwind Energie GmbH</t>
        </is>
      </c>
      <c r="C41" s="60" t="inlineStr">
        <is>
          <t>Anna Moser</t>
        </is>
      </c>
      <c r="D41" s="61" t="inlineStr">
        <is>
          <t>Netzmonteur</t>
        </is>
      </c>
    </row>
    <row r="42">
      <c r="A42" s="58" t="n">
        <v>34</v>
      </c>
      <c r="B42" s="59" t="inlineStr">
        <is>
          <t>Donauwind Energie GmbH</t>
        </is>
      </c>
      <c r="C42" s="60" t="inlineStr">
        <is>
          <t>Patrick Wimmer</t>
        </is>
      </c>
      <c r="D42" s="61" t="inlineStr">
        <is>
          <t>Instandhalter</t>
        </is>
      </c>
    </row>
    <row r="43">
      <c r="A43" s="58" t="n">
        <v>35</v>
      </c>
      <c r="B43" s="59" t="inlineStr">
        <is>
          <t>Donauwind Energie GmbH</t>
        </is>
      </c>
      <c r="C43" s="60" t="inlineStr">
        <is>
          <t>Alexander Fuchs</t>
        </is>
      </c>
      <c r="D43" s="61" t="inlineStr">
        <is>
          <t>Messtechniker</t>
        </is>
      </c>
    </row>
    <row r="44">
      <c r="A44" s="58" t="n">
        <v>36</v>
      </c>
      <c r="B44" s="59" t="inlineStr">
        <is>
          <t>Donauwind Energie GmbH</t>
        </is>
      </c>
      <c r="C44" s="60" t="inlineStr">
        <is>
          <t>Lena Schwarz</t>
        </is>
      </c>
      <c r="D44" s="61" t="inlineStr">
        <is>
          <t>Netzmonteur</t>
        </is>
      </c>
    </row>
    <row r="45">
      <c r="A45" s="58" t="n">
        <v>37</v>
      </c>
      <c r="B45" s="59" t="inlineStr">
        <is>
          <t>Donauwind Energie GmbH</t>
        </is>
      </c>
      <c r="C45" s="60" t="inlineStr">
        <is>
          <t>Daniel Mayer</t>
        </is>
      </c>
      <c r="D45" s="61" t="inlineStr">
        <is>
          <t>Instandhalter</t>
        </is>
      </c>
    </row>
    <row r="46">
      <c r="A46" s="58" t="n">
        <v>38</v>
      </c>
      <c r="B46" s="59" t="inlineStr">
        <is>
          <t>Donauwind Energie GmbH</t>
        </is>
      </c>
      <c r="C46" s="60" t="inlineStr">
        <is>
          <t>Sophie Bauer</t>
        </is>
      </c>
      <c r="D46" s="61" t="inlineStr">
        <is>
          <t>Instandhalter</t>
        </is>
      </c>
    </row>
    <row r="47">
      <c r="A47" s="58" t="n">
        <v>39</v>
      </c>
      <c r="B47" s="59" t="inlineStr">
        <is>
          <t>Donauwind Energie GmbH</t>
        </is>
      </c>
      <c r="C47" s="60" t="inlineStr">
        <is>
          <t>Lisa Egger</t>
        </is>
      </c>
      <c r="D47" s="61" t="inlineStr">
        <is>
          <t>Servicetechniker</t>
        </is>
      </c>
    </row>
    <row r="48">
      <c r="A48" s="58" t="n">
        <v>40</v>
      </c>
      <c r="B48" s="59" t="inlineStr">
        <is>
          <t>Donauwind Energie GmbH</t>
        </is>
      </c>
      <c r="C48" s="60" t="inlineStr">
        <is>
          <t>Wolfgang Lang</t>
        </is>
      </c>
      <c r="D48" s="61" t="inlineStr">
        <is>
          <t>Instandhalter</t>
        </is>
      </c>
    </row>
    <row r="49">
      <c r="A49" s="62" t="n">
        <v>41</v>
      </c>
      <c r="B49" s="63" t="inlineStr">
        <is>
          <t>Edelweiss Gastro Service GmbH</t>
        </is>
      </c>
      <c r="C49" s="64" t="inlineStr">
        <is>
          <t>Sabine Aigner</t>
        </is>
      </c>
      <c r="D49" s="65" t="inlineStr">
        <is>
          <t>Koch/Köchin</t>
        </is>
      </c>
    </row>
    <row r="50">
      <c r="A50" s="50" t="n">
        <v>42</v>
      </c>
      <c r="B50" s="51" t="inlineStr">
        <is>
          <t>Edelweiss Gastro Service GmbH</t>
        </is>
      </c>
      <c r="C50" s="52" t="inlineStr">
        <is>
          <t>Daniel Lang</t>
        </is>
      </c>
      <c r="D50" s="53" t="inlineStr">
        <is>
          <t>Servicekraft</t>
        </is>
      </c>
    </row>
    <row r="51">
      <c r="A51" s="50" t="n">
        <v>43</v>
      </c>
      <c r="B51" s="51" t="inlineStr">
        <is>
          <t>Edelweiss Gastro Service GmbH</t>
        </is>
      </c>
      <c r="C51" s="52" t="inlineStr">
        <is>
          <t>Stefan Wallner</t>
        </is>
      </c>
      <c r="D51" s="53" t="inlineStr">
        <is>
          <t>Servicekraft</t>
        </is>
      </c>
    </row>
    <row r="52">
      <c r="A52" s="50" t="n">
        <v>44</v>
      </c>
      <c r="B52" s="51" t="inlineStr">
        <is>
          <t>Edelweiss Gastro Service GmbH</t>
        </is>
      </c>
      <c r="C52" s="52" t="inlineStr">
        <is>
          <t>Daniel Pichler</t>
        </is>
      </c>
      <c r="D52" s="53" t="inlineStr">
        <is>
          <t>Küchenhilfe</t>
        </is>
      </c>
    </row>
    <row r="53">
      <c r="A53" s="50" t="n">
        <v>45</v>
      </c>
      <c r="B53" s="51" t="inlineStr">
        <is>
          <t>Edelweiss Gastro Service GmbH</t>
        </is>
      </c>
      <c r="C53" s="52" t="inlineStr">
        <is>
          <t>Melanie Berger</t>
        </is>
      </c>
      <c r="D53" s="53" t="inlineStr">
        <is>
          <t>Koch/Köchin</t>
        </is>
      </c>
    </row>
    <row r="54">
      <c r="A54" s="50" t="n">
        <v>46</v>
      </c>
      <c r="B54" s="51" t="inlineStr">
        <is>
          <t>Edelweiss Gastro Service GmbH</t>
        </is>
      </c>
      <c r="C54" s="52" t="inlineStr">
        <is>
          <t>Anna Hofer</t>
        </is>
      </c>
      <c r="D54" s="53" t="inlineStr">
        <is>
          <t>Servicekraft</t>
        </is>
      </c>
    </row>
    <row r="55">
      <c r="A55" s="50" t="n">
        <v>47</v>
      </c>
      <c r="B55" s="51" t="inlineStr">
        <is>
          <t>Edelweiss Gastro Service GmbH</t>
        </is>
      </c>
      <c r="C55" s="52" t="inlineStr">
        <is>
          <t>Sabine Huber</t>
        </is>
      </c>
      <c r="D55" s="53" t="inlineStr">
        <is>
          <t>Servicekraft</t>
        </is>
      </c>
    </row>
    <row r="56">
      <c r="A56" s="50" t="n">
        <v>48</v>
      </c>
      <c r="B56" s="51" t="inlineStr">
        <is>
          <t>Edelweiss Gastro Service GmbH</t>
        </is>
      </c>
      <c r="C56" s="52" t="inlineStr">
        <is>
          <t>Nina Pichler</t>
        </is>
      </c>
      <c r="D56" s="53" t="inlineStr">
        <is>
          <t>Servicekraft</t>
        </is>
      </c>
    </row>
    <row r="57">
      <c r="A57" s="50" t="n">
        <v>49</v>
      </c>
      <c r="B57" s="51" t="inlineStr">
        <is>
          <t>Edelweiss Gastro Service GmbH</t>
        </is>
      </c>
      <c r="C57" s="52" t="inlineStr">
        <is>
          <t>Bernhard Schmid</t>
        </is>
      </c>
      <c r="D57" s="53" t="inlineStr">
        <is>
          <t>Schichtleiter</t>
        </is>
      </c>
    </row>
    <row r="58">
      <c r="A58" s="50" t="n">
        <v>50</v>
      </c>
      <c r="B58" s="51" t="inlineStr">
        <is>
          <t>Edelweiss Gastro Service GmbH</t>
        </is>
      </c>
      <c r="C58" s="52" t="inlineStr">
        <is>
          <t>Alexander Baumgartner</t>
        </is>
      </c>
      <c r="D58" s="53" t="inlineStr">
        <is>
          <t>Koch/Köchin</t>
        </is>
      </c>
    </row>
    <row r="59">
      <c r="A59" s="54" t="n">
        <v>51</v>
      </c>
      <c r="B59" s="55" t="inlineStr">
        <is>
          <t>Falkner Metallbau GmbH</t>
        </is>
      </c>
      <c r="C59" s="56" t="inlineStr">
        <is>
          <t>Christian Wolf</t>
        </is>
      </c>
      <c r="D59" s="57" t="inlineStr">
        <is>
          <t>Schweißer</t>
        </is>
      </c>
    </row>
    <row r="60">
      <c r="A60" s="58" t="n">
        <v>52</v>
      </c>
      <c r="B60" s="59" t="inlineStr">
        <is>
          <t>Falkner Metallbau GmbH</t>
        </is>
      </c>
      <c r="C60" s="60" t="inlineStr">
        <is>
          <t>Florian Hofer</t>
        </is>
      </c>
      <c r="D60" s="61" t="inlineStr">
        <is>
          <t>Schlosser</t>
        </is>
      </c>
    </row>
    <row r="61">
      <c r="A61" s="58" t="n">
        <v>53</v>
      </c>
      <c r="B61" s="59" t="inlineStr">
        <is>
          <t>Falkner Metallbau GmbH</t>
        </is>
      </c>
      <c r="C61" s="60" t="inlineStr">
        <is>
          <t>Wolfgang Winkler</t>
        </is>
      </c>
      <c r="D61" s="61" t="inlineStr">
        <is>
          <t>Metallbautechniker</t>
        </is>
      </c>
    </row>
    <row r="62">
      <c r="A62" s="58" t="n">
        <v>54</v>
      </c>
      <c r="B62" s="59" t="inlineStr">
        <is>
          <t>Falkner Metallbau GmbH</t>
        </is>
      </c>
      <c r="C62" s="60" t="inlineStr">
        <is>
          <t>Florian Wagner</t>
        </is>
      </c>
      <c r="D62" s="61" t="inlineStr">
        <is>
          <t>Metallbautechniker</t>
        </is>
      </c>
    </row>
    <row r="63">
      <c r="A63" s="58" t="n">
        <v>55</v>
      </c>
      <c r="B63" s="59" t="inlineStr">
        <is>
          <t>Falkner Metallbau GmbH</t>
        </is>
      </c>
      <c r="C63" s="60" t="inlineStr">
        <is>
          <t>Sarah Egger</t>
        </is>
      </c>
      <c r="D63" s="61" t="inlineStr">
        <is>
          <t>Konstrukteur</t>
        </is>
      </c>
    </row>
    <row r="64">
      <c r="A64" s="58" t="n">
        <v>56</v>
      </c>
      <c r="B64" s="59" t="inlineStr">
        <is>
          <t>Falkner Metallbau GmbH</t>
        </is>
      </c>
      <c r="C64" s="60" t="inlineStr">
        <is>
          <t>Andreas Berger</t>
        </is>
      </c>
      <c r="D64" s="61" t="inlineStr">
        <is>
          <t>Metallbautechniker</t>
        </is>
      </c>
    </row>
    <row r="65">
      <c r="A65" s="58" t="n">
        <v>57</v>
      </c>
      <c r="B65" s="59" t="inlineStr">
        <is>
          <t>Falkner Metallbau GmbH</t>
        </is>
      </c>
      <c r="C65" s="60" t="inlineStr">
        <is>
          <t>Patrick Wagner</t>
        </is>
      </c>
      <c r="D65" s="61" t="inlineStr">
        <is>
          <t>CNC-Fräser</t>
        </is>
      </c>
    </row>
    <row r="66">
      <c r="A66" s="58" t="n">
        <v>58</v>
      </c>
      <c r="B66" s="59" t="inlineStr">
        <is>
          <t>Falkner Metallbau GmbH</t>
        </is>
      </c>
      <c r="C66" s="60" t="inlineStr">
        <is>
          <t>Katharina Maier</t>
        </is>
      </c>
      <c r="D66" s="61" t="inlineStr">
        <is>
          <t>Schlosser</t>
        </is>
      </c>
    </row>
    <row r="67">
      <c r="A67" s="58" t="n">
        <v>59</v>
      </c>
      <c r="B67" s="59" t="inlineStr">
        <is>
          <t>Falkner Metallbau GmbH</t>
        </is>
      </c>
      <c r="C67" s="60" t="inlineStr">
        <is>
          <t>Melanie Wagner</t>
        </is>
      </c>
      <c r="D67" s="61" t="inlineStr">
        <is>
          <t>Schweißer</t>
        </is>
      </c>
    </row>
    <row r="68">
      <c r="A68" s="58" t="n">
        <v>60</v>
      </c>
      <c r="B68" s="59" t="inlineStr">
        <is>
          <t>Falkner Metallbau GmbH</t>
        </is>
      </c>
      <c r="C68" s="60" t="inlineStr">
        <is>
          <t>Florian Mayer</t>
        </is>
      </c>
      <c r="D68" s="61" t="inlineStr">
        <is>
          <t>CNC-Fräser</t>
        </is>
      </c>
    </row>
    <row r="69">
      <c r="A69" s="62" t="n">
        <v>61</v>
      </c>
      <c r="B69" s="63" t="inlineStr">
        <is>
          <t>Greenfield Agrar &amp; Lebensmittel GmbH</t>
        </is>
      </c>
      <c r="C69" s="64" t="inlineStr">
        <is>
          <t>Vanessa Baumgartner</t>
        </is>
      </c>
      <c r="D69" s="65" t="inlineStr">
        <is>
          <t>Qualitätsprüfer</t>
        </is>
      </c>
    </row>
    <row r="70">
      <c r="A70" s="50" t="n">
        <v>62</v>
      </c>
      <c r="B70" s="51" t="inlineStr">
        <is>
          <t>Greenfield Agrar &amp; Lebensmittel GmbH</t>
        </is>
      </c>
      <c r="C70" s="52" t="inlineStr">
        <is>
          <t>Simon Schwarz</t>
        </is>
      </c>
      <c r="D70" s="53" t="inlineStr">
        <is>
          <t>Staplerfahrer</t>
        </is>
      </c>
    </row>
    <row r="71">
      <c r="A71" s="50" t="n">
        <v>63</v>
      </c>
      <c r="B71" s="51" t="inlineStr">
        <is>
          <t>Greenfield Agrar &amp; Lebensmittel GmbH</t>
        </is>
      </c>
      <c r="C71" s="52" t="inlineStr">
        <is>
          <t>Patrick Schwarz</t>
        </is>
      </c>
      <c r="D71" s="53" t="inlineStr">
        <is>
          <t>Erntehelfer</t>
        </is>
      </c>
    </row>
    <row r="72">
      <c r="A72" s="50" t="n">
        <v>64</v>
      </c>
      <c r="B72" s="51" t="inlineStr">
        <is>
          <t>Greenfield Agrar &amp; Lebensmittel GmbH</t>
        </is>
      </c>
      <c r="C72" s="52" t="inlineStr">
        <is>
          <t>Andreas Bauer</t>
        </is>
      </c>
      <c r="D72" s="53" t="inlineStr">
        <is>
          <t>Produktionsmitarbeiter</t>
        </is>
      </c>
    </row>
    <row r="73">
      <c r="A73" s="50" t="n">
        <v>65</v>
      </c>
      <c r="B73" s="51" t="inlineStr">
        <is>
          <t>Greenfield Agrar &amp; Lebensmittel GmbH</t>
        </is>
      </c>
      <c r="C73" s="52" t="inlineStr">
        <is>
          <t>Simon Gruber</t>
        </is>
      </c>
      <c r="D73" s="53" t="inlineStr">
        <is>
          <t>Qualitätsprüfer</t>
        </is>
      </c>
    </row>
    <row r="74">
      <c r="A74" s="50" t="n">
        <v>66</v>
      </c>
      <c r="B74" s="51" t="inlineStr">
        <is>
          <t>Greenfield Agrar &amp; Lebensmittel GmbH</t>
        </is>
      </c>
      <c r="C74" s="52" t="inlineStr">
        <is>
          <t>Katharina Wieser</t>
        </is>
      </c>
      <c r="D74" s="53" t="inlineStr">
        <is>
          <t>Verpacker</t>
        </is>
      </c>
    </row>
    <row r="75">
      <c r="A75" s="50" t="n">
        <v>67</v>
      </c>
      <c r="B75" s="51" t="inlineStr">
        <is>
          <t>Greenfield Agrar &amp; Lebensmittel GmbH</t>
        </is>
      </c>
      <c r="C75" s="52" t="inlineStr">
        <is>
          <t>Claudia Gruber</t>
        </is>
      </c>
      <c r="D75" s="53" t="inlineStr">
        <is>
          <t>Produktionsmitarbeiter</t>
        </is>
      </c>
    </row>
    <row r="76">
      <c r="A76" s="50" t="n">
        <v>68</v>
      </c>
      <c r="B76" s="51" t="inlineStr">
        <is>
          <t>Greenfield Agrar &amp; Lebensmittel GmbH</t>
        </is>
      </c>
      <c r="C76" s="52" t="inlineStr">
        <is>
          <t>Lena Wagner</t>
        </is>
      </c>
      <c r="D76" s="53" t="inlineStr">
        <is>
          <t>Staplerfahrer</t>
        </is>
      </c>
    </row>
    <row r="77">
      <c r="A77" s="50" t="n">
        <v>69</v>
      </c>
      <c r="B77" s="51" t="inlineStr">
        <is>
          <t>Greenfield Agrar &amp; Lebensmittel GmbH</t>
        </is>
      </c>
      <c r="C77" s="52" t="inlineStr">
        <is>
          <t>Sabine Steiner</t>
        </is>
      </c>
      <c r="D77" s="53" t="inlineStr">
        <is>
          <t>Erntehelfer</t>
        </is>
      </c>
    </row>
    <row r="78">
      <c r="A78" s="50" t="n">
        <v>70</v>
      </c>
      <c r="B78" s="51" t="inlineStr">
        <is>
          <t>Greenfield Agrar &amp; Lebensmittel GmbH</t>
        </is>
      </c>
      <c r="C78" s="52" t="inlineStr">
        <is>
          <t>Martin Aigner</t>
        </is>
      </c>
      <c r="D78" s="53" t="inlineStr">
        <is>
          <t>Verpacker</t>
        </is>
      </c>
    </row>
    <row r="79">
      <c r="A79" s="54" t="n">
        <v>71</v>
      </c>
      <c r="B79" s="55" t="inlineStr">
        <is>
          <t>Hofer Maschinenbau GmbH</t>
        </is>
      </c>
      <c r="C79" s="56" t="inlineStr">
        <is>
          <t>Katharina Huber</t>
        </is>
      </c>
      <c r="D79" s="57" t="inlineStr">
        <is>
          <t>Zerspanungstechniker</t>
        </is>
      </c>
    </row>
    <row r="80">
      <c r="A80" s="58" t="n">
        <v>72</v>
      </c>
      <c r="B80" s="59" t="inlineStr">
        <is>
          <t>Hofer Maschinenbau GmbH</t>
        </is>
      </c>
      <c r="C80" s="60" t="inlineStr">
        <is>
          <t>Michael Schwarz</t>
        </is>
      </c>
      <c r="D80" s="61" t="inlineStr">
        <is>
          <t>Zerspanungstechniker</t>
        </is>
      </c>
    </row>
    <row r="81">
      <c r="A81" s="58" t="n">
        <v>73</v>
      </c>
      <c r="B81" s="59" t="inlineStr">
        <is>
          <t>Hofer Maschinenbau GmbH</t>
        </is>
      </c>
      <c r="C81" s="60" t="inlineStr">
        <is>
          <t>Julia Lang</t>
        </is>
      </c>
      <c r="D81" s="61" t="inlineStr">
        <is>
          <t>Monteur</t>
        </is>
      </c>
    </row>
    <row r="82">
      <c r="A82" s="58" t="n">
        <v>74</v>
      </c>
      <c r="B82" s="59" t="inlineStr">
        <is>
          <t>Hofer Maschinenbau GmbH</t>
        </is>
      </c>
      <c r="C82" s="60" t="inlineStr">
        <is>
          <t>Florian Baumgartner</t>
        </is>
      </c>
      <c r="D82" s="61" t="inlineStr">
        <is>
          <t>Zerspanungstechniker</t>
        </is>
      </c>
    </row>
    <row r="83">
      <c r="A83" s="58" t="n">
        <v>75</v>
      </c>
      <c r="B83" s="59" t="inlineStr">
        <is>
          <t>Hofer Maschinenbau GmbH</t>
        </is>
      </c>
      <c r="C83" s="60" t="inlineStr">
        <is>
          <t>Lena Sailer</t>
        </is>
      </c>
      <c r="D83" s="61" t="inlineStr">
        <is>
          <t>Industriemechaniker</t>
        </is>
      </c>
    </row>
    <row r="84">
      <c r="A84" s="58" t="n">
        <v>76</v>
      </c>
      <c r="B84" s="59" t="inlineStr">
        <is>
          <t>Hofer Maschinenbau GmbH</t>
        </is>
      </c>
      <c r="C84" s="60" t="inlineStr">
        <is>
          <t>Sarah Hofer</t>
        </is>
      </c>
      <c r="D84" s="61" t="inlineStr">
        <is>
          <t>Industriemechaniker</t>
        </is>
      </c>
    </row>
    <row r="85">
      <c r="A85" s="58" t="n">
        <v>77</v>
      </c>
      <c r="B85" s="59" t="inlineStr">
        <is>
          <t>Hofer Maschinenbau GmbH</t>
        </is>
      </c>
      <c r="C85" s="60" t="inlineStr">
        <is>
          <t>Wolfgang Sailer</t>
        </is>
      </c>
      <c r="D85" s="61" t="inlineStr">
        <is>
          <t>Zerspanungstechniker</t>
        </is>
      </c>
    </row>
    <row r="86">
      <c r="A86" s="58" t="n">
        <v>78</v>
      </c>
      <c r="B86" s="59" t="inlineStr">
        <is>
          <t>Hofer Maschinenbau GmbH</t>
        </is>
      </c>
      <c r="C86" s="60" t="inlineStr">
        <is>
          <t>Sophie Aigner</t>
        </is>
      </c>
      <c r="D86" s="61" t="inlineStr">
        <is>
          <t>Monteur</t>
        </is>
      </c>
    </row>
    <row r="87">
      <c r="A87" s="58" t="n">
        <v>79</v>
      </c>
      <c r="B87" s="59" t="inlineStr">
        <is>
          <t>Hofer Maschinenbau GmbH</t>
        </is>
      </c>
      <c r="C87" s="60" t="inlineStr">
        <is>
          <t>Anna Huber</t>
        </is>
      </c>
      <c r="D87" s="61" t="inlineStr">
        <is>
          <t>Instandhalter</t>
        </is>
      </c>
    </row>
    <row r="88">
      <c r="A88" s="58" t="n">
        <v>80</v>
      </c>
      <c r="B88" s="59" t="inlineStr">
        <is>
          <t>Hofer Maschinenbau GmbH</t>
        </is>
      </c>
      <c r="C88" s="60" t="inlineStr">
        <is>
          <t>Anna Schmid</t>
        </is>
      </c>
      <c r="D88" s="61" t="inlineStr">
        <is>
          <t>Instandhalter</t>
        </is>
      </c>
    </row>
    <row r="89">
      <c r="A89" s="62" t="n">
        <v>81</v>
      </c>
      <c r="B89" s="63" t="inlineStr">
        <is>
          <t>Ilbex Pharma Logistik GmbH</t>
        </is>
      </c>
      <c r="C89" s="64" t="inlineStr">
        <is>
          <t>Simon Lang</t>
        </is>
      </c>
      <c r="D89" s="65" t="inlineStr">
        <is>
          <t>Qualitätskontrolleur</t>
        </is>
      </c>
    </row>
    <row r="90">
      <c r="A90" s="50" t="n">
        <v>82</v>
      </c>
      <c r="B90" s="51" t="inlineStr">
        <is>
          <t>Ilbex Pharma Logistik GmbH</t>
        </is>
      </c>
      <c r="C90" s="52" t="inlineStr">
        <is>
          <t>Wolfgang Fuchs</t>
        </is>
      </c>
      <c r="D90" s="53" t="inlineStr">
        <is>
          <t>Staplerfahrer</t>
        </is>
      </c>
    </row>
    <row r="91">
      <c r="A91" s="50" t="n">
        <v>83</v>
      </c>
      <c r="B91" s="51" t="inlineStr">
        <is>
          <t>Ilbex Pharma Logistik GmbH</t>
        </is>
      </c>
      <c r="C91" s="52" t="inlineStr">
        <is>
          <t>Christian Leitner</t>
        </is>
      </c>
      <c r="D91" s="53" t="inlineStr">
        <is>
          <t>Kommissionierer</t>
        </is>
      </c>
    </row>
    <row r="92">
      <c r="A92" s="50" t="n">
        <v>84</v>
      </c>
      <c r="B92" s="51" t="inlineStr">
        <is>
          <t>Ilbex Pharma Logistik GmbH</t>
        </is>
      </c>
      <c r="C92" s="52" t="inlineStr">
        <is>
          <t>Sarah Aigner</t>
        </is>
      </c>
      <c r="D92" s="53" t="inlineStr">
        <is>
          <t>Staplerfahrer</t>
        </is>
      </c>
    </row>
    <row r="93">
      <c r="A93" s="50" t="n">
        <v>85</v>
      </c>
      <c r="B93" s="51" t="inlineStr">
        <is>
          <t>Ilbex Pharma Logistik GmbH</t>
        </is>
      </c>
      <c r="C93" s="52" t="inlineStr">
        <is>
          <t>Andreas Auer</t>
        </is>
      </c>
      <c r="D93" s="53" t="inlineStr">
        <is>
          <t>Qualitätskontrolleur</t>
        </is>
      </c>
    </row>
    <row r="94">
      <c r="A94" s="50" t="n">
        <v>86</v>
      </c>
      <c r="B94" s="51" t="inlineStr">
        <is>
          <t>Ilbex Pharma Logistik GmbH</t>
        </is>
      </c>
      <c r="C94" s="52" t="inlineStr">
        <is>
          <t>Laura Lang</t>
        </is>
      </c>
      <c r="D94" s="53" t="inlineStr">
        <is>
          <t>Staplerfahrer</t>
        </is>
      </c>
    </row>
    <row r="95">
      <c r="A95" s="50" t="n">
        <v>87</v>
      </c>
      <c r="B95" s="51" t="inlineStr">
        <is>
          <t>Ilbex Pharma Logistik GmbH</t>
        </is>
      </c>
      <c r="C95" s="52" t="inlineStr">
        <is>
          <t>Vanessa Gruber</t>
        </is>
      </c>
      <c r="D95" s="53" t="inlineStr">
        <is>
          <t>Qualitätskontrolleur</t>
        </is>
      </c>
    </row>
    <row r="96">
      <c r="A96" s="50" t="n">
        <v>88</v>
      </c>
      <c r="B96" s="51" t="inlineStr">
        <is>
          <t>Ilbex Pharma Logistik GmbH</t>
        </is>
      </c>
      <c r="C96" s="52" t="inlineStr">
        <is>
          <t>Petra Bauer</t>
        </is>
      </c>
      <c r="D96" s="53" t="inlineStr">
        <is>
          <t>Chargenprüfer</t>
        </is>
      </c>
    </row>
    <row r="97">
      <c r="A97" s="50" t="n">
        <v>89</v>
      </c>
      <c r="B97" s="51" t="inlineStr">
        <is>
          <t>Ilbex Pharma Logistik GmbH</t>
        </is>
      </c>
      <c r="C97" s="52" t="inlineStr">
        <is>
          <t>Thomas Wieser</t>
        </is>
      </c>
      <c r="D97" s="53" t="inlineStr">
        <is>
          <t>Chargenprüfer</t>
        </is>
      </c>
    </row>
    <row r="98">
      <c r="A98" s="50" t="n">
        <v>90</v>
      </c>
      <c r="B98" s="51" t="inlineStr">
        <is>
          <t>Ilbex Pharma Logistik GmbH</t>
        </is>
      </c>
      <c r="C98" s="52" t="inlineStr">
        <is>
          <t>Georg Baumgartner</t>
        </is>
      </c>
      <c r="D98" s="53" t="inlineStr">
        <is>
          <t>Staplerfahrer</t>
        </is>
      </c>
    </row>
    <row r="99">
      <c r="A99" s="54" t="n">
        <v>91</v>
      </c>
      <c r="B99" s="55" t="inlineStr">
        <is>
          <t>Jung Automotive Systems GmbH</t>
        </is>
      </c>
      <c r="C99" s="56" t="inlineStr">
        <is>
          <t>Melanie Hofer</t>
        </is>
      </c>
      <c r="D99" s="57" t="inlineStr">
        <is>
          <t>Karosseriebauer</t>
        </is>
      </c>
    </row>
    <row r="100">
      <c r="A100" s="58" t="n">
        <v>92</v>
      </c>
      <c r="B100" s="59" t="inlineStr">
        <is>
          <t>Jung Automotive Systems GmbH</t>
        </is>
      </c>
      <c r="C100" s="60" t="inlineStr">
        <is>
          <t>Martin Steiner</t>
        </is>
      </c>
      <c r="D100" s="61" t="inlineStr">
        <is>
          <t>Fließbandmitarbeiter</t>
        </is>
      </c>
    </row>
    <row r="101">
      <c r="A101" s="58" t="n">
        <v>93</v>
      </c>
      <c r="B101" s="59" t="inlineStr">
        <is>
          <t>Jung Automotive Systems GmbH</t>
        </is>
      </c>
      <c r="C101" s="60" t="inlineStr">
        <is>
          <t>Wolfgang Weber</t>
        </is>
      </c>
      <c r="D101" s="61" t="inlineStr">
        <is>
          <t>Prozesstechniker</t>
        </is>
      </c>
    </row>
    <row r="102">
      <c r="A102" s="58" t="n">
        <v>94</v>
      </c>
      <c r="B102" s="59" t="inlineStr">
        <is>
          <t>Jung Automotive Systems GmbH</t>
        </is>
      </c>
      <c r="C102" s="60" t="inlineStr">
        <is>
          <t>Bernhard Schwarz</t>
        </is>
      </c>
      <c r="D102" s="61" t="inlineStr">
        <is>
          <t>Fließbandmitarbeiter</t>
        </is>
      </c>
    </row>
    <row r="103">
      <c r="A103" s="58" t="n">
        <v>95</v>
      </c>
      <c r="B103" s="59" t="inlineStr">
        <is>
          <t>Jung Automotive Systems GmbH</t>
        </is>
      </c>
      <c r="C103" s="60" t="inlineStr">
        <is>
          <t>Patrick Berger</t>
        </is>
      </c>
      <c r="D103" s="61" t="inlineStr">
        <is>
          <t>Karosseriebauer</t>
        </is>
      </c>
    </row>
    <row r="104">
      <c r="A104" s="58" t="n">
        <v>96</v>
      </c>
      <c r="B104" s="59" t="inlineStr">
        <is>
          <t>Jung Automotive Systems GmbH</t>
        </is>
      </c>
      <c r="C104" s="60" t="inlineStr">
        <is>
          <t>Patrick Auer</t>
        </is>
      </c>
      <c r="D104" s="61" t="inlineStr">
        <is>
          <t>Lackierer</t>
        </is>
      </c>
    </row>
    <row r="105">
      <c r="A105" s="58" t="n">
        <v>97</v>
      </c>
      <c r="B105" s="59" t="inlineStr">
        <is>
          <t>Jung Automotive Systems GmbH</t>
        </is>
      </c>
      <c r="C105" s="60" t="inlineStr">
        <is>
          <t>Anna Bauer</t>
        </is>
      </c>
      <c r="D105" s="61" t="inlineStr">
        <is>
          <t>Prozesstechniker</t>
        </is>
      </c>
    </row>
    <row r="106">
      <c r="A106" s="58" t="n">
        <v>98</v>
      </c>
      <c r="B106" s="59" t="inlineStr">
        <is>
          <t>Jung Automotive Systems GmbH</t>
        </is>
      </c>
      <c r="C106" s="60" t="inlineStr">
        <is>
          <t>Melanie Reiter</t>
        </is>
      </c>
      <c r="D106" s="61" t="inlineStr">
        <is>
          <t>Lackierer</t>
        </is>
      </c>
    </row>
    <row r="107">
      <c r="A107" s="58" t="n">
        <v>99</v>
      </c>
      <c r="B107" s="59" t="inlineStr">
        <is>
          <t>Jung Automotive Systems GmbH</t>
        </is>
      </c>
      <c r="C107" s="60" t="inlineStr">
        <is>
          <t>Sophie Leitner</t>
        </is>
      </c>
      <c r="D107" s="61" t="inlineStr">
        <is>
          <t>Fließbandmitarbeiter</t>
        </is>
      </c>
    </row>
    <row r="108">
      <c r="A108" s="58" t="n">
        <v>100</v>
      </c>
      <c r="B108" s="59" t="inlineStr">
        <is>
          <t>Jung Automotive Systems GmbH</t>
        </is>
      </c>
      <c r="C108" s="60" t="inlineStr">
        <is>
          <t>Georg Moser</t>
        </is>
      </c>
      <c r="D108" s="61" t="inlineStr">
        <is>
          <t>Fließbandmitarbeiter</t>
        </is>
      </c>
    </row>
  </sheetData>
  <mergeCells count="4">
    <mergeCell ref="A1:D1"/>
    <mergeCell ref="A6:B6"/>
    <mergeCell ref="A2:D2"/>
    <mergeCell ref="A5:B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3E6B8A"/>
    <outlinePr summaryBelow="1" summaryRight="1"/>
    <pageSetUpPr/>
  </sheetPr>
  <dimension ref="A1:P108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outlineLevel="1" width="11" customWidth="1" min="15" max="15"/>
    <col width="14" customWidth="1" min="16" max="16"/>
  </cols>
  <sheetData>
    <row r="1" ht="26" customHeight="1">
      <c r="A1" s="1" t="inlineStr">
        <is>
          <t>VERRECHNUNG — Rechnungsbeträge an Kunden je Mitarbeiter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5" customHeight="1">
      <c r="A2" s="3" t="inlineStr">
        <is>
          <t>Monatlich an den Kunden verrechneter Betrag (netto) je überlassenem Mitarbeiter eintragen.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6" customHeight="1"/>
    <row r="4" ht="14" customHeight="1">
      <c r="A4" s="66" t="inlineStr">
        <is>
          <t xml:space="preserve"> Verknüpfung aus Stammdaten</t>
        </is>
      </c>
      <c r="D4" s="48" t="inlineStr">
        <is>
          <t xml:space="preserve"> Eingabefeld (bitte je Monat ausfüllen)</t>
        </is>
      </c>
      <c r="G4" s="67" t="inlineStr">
        <is>
          <t xml:space="preserve"> Formel (Jahressumme)</t>
        </is>
      </c>
    </row>
    <row r="8" ht="30" customHeight="1">
      <c r="A8" s="49" t="inlineStr">
        <is>
          <t>ID</t>
        </is>
      </c>
      <c r="B8" s="49" t="inlineStr">
        <is>
          <t>Kunde</t>
        </is>
      </c>
      <c r="C8" s="49" t="inlineStr">
        <is>
          <t>Mitarbeiter</t>
        </is>
      </c>
      <c r="D8" s="49" t="inlineStr">
        <is>
          <t>Jan</t>
        </is>
      </c>
      <c r="E8" s="49" t="inlineStr">
        <is>
          <t>Feb</t>
        </is>
      </c>
      <c r="F8" s="49" t="inlineStr">
        <is>
          <t>Mär</t>
        </is>
      </c>
      <c r="G8" s="49" t="inlineStr">
        <is>
          <t>Apr</t>
        </is>
      </c>
      <c r="H8" s="49" t="inlineStr">
        <is>
          <t>Mai</t>
        </is>
      </c>
      <c r="I8" s="49" t="inlineStr">
        <is>
          <t>Jun</t>
        </is>
      </c>
      <c r="J8" s="49" t="inlineStr">
        <is>
          <t>Jul</t>
        </is>
      </c>
      <c r="K8" s="49" t="inlineStr">
        <is>
          <t>Aug</t>
        </is>
      </c>
      <c r="L8" s="49" t="inlineStr">
        <is>
          <t>Sep</t>
        </is>
      </c>
      <c r="M8" s="49" t="inlineStr">
        <is>
          <t>Okt</t>
        </is>
      </c>
      <c r="N8" s="49" t="inlineStr">
        <is>
          <t>Nov</t>
        </is>
      </c>
      <c r="O8" s="49" t="inlineStr">
        <is>
          <t>Dez</t>
        </is>
      </c>
      <c r="P8" s="49" t="inlineStr">
        <is>
          <t>Summe Jahr</t>
        </is>
      </c>
    </row>
    <row r="9">
      <c r="A9" s="68">
        <f>Stammdaten!A9</f>
        <v/>
      </c>
      <c r="B9" s="69">
        <f>Stammdaten!B9</f>
        <v/>
      </c>
      <c r="C9" s="69">
        <f>Stammdaten!C9</f>
        <v/>
      </c>
      <c r="D9" s="70" t="n">
        <v>4388.19</v>
      </c>
      <c r="E9" s="70" t="n">
        <v>4457.46</v>
      </c>
      <c r="F9" s="70" t="n">
        <v>4383.95</v>
      </c>
      <c r="G9" s="70" t="n">
        <v>4227.57</v>
      </c>
      <c r="H9" s="70" t="n">
        <v>4331.69</v>
      </c>
      <c r="I9" s="70" t="n">
        <v>4547.99</v>
      </c>
      <c r="J9" s="70" t="n">
        <v>4299.87</v>
      </c>
      <c r="K9" s="70" t="n">
        <v>4318.48</v>
      </c>
      <c r="L9" s="70" t="n">
        <v>4200.04</v>
      </c>
      <c r="M9" s="70" t="n">
        <v>4319.77</v>
      </c>
      <c r="N9" s="70" t="n">
        <v>4417.62</v>
      </c>
      <c r="O9" s="70" t="n">
        <v>3928.41</v>
      </c>
      <c r="P9" s="28">
        <f>SUM(D9:O9)</f>
        <v/>
      </c>
    </row>
    <row r="10">
      <c r="A10" s="68">
        <f>Stammdaten!A10</f>
        <v/>
      </c>
      <c r="B10" s="69">
        <f>Stammdaten!B10</f>
        <v/>
      </c>
      <c r="C10" s="69">
        <f>Stammdaten!C10</f>
        <v/>
      </c>
      <c r="D10" s="70" t="n">
        <v>4574.47</v>
      </c>
      <c r="E10" s="70" t="n">
        <v>4231.83</v>
      </c>
      <c r="F10" s="70" t="n">
        <v>4414.63</v>
      </c>
      <c r="G10" s="70" t="n">
        <v>4437.03</v>
      </c>
      <c r="H10" s="70" t="n">
        <v>4429.12</v>
      </c>
      <c r="I10" s="70" t="n">
        <v>4251.84</v>
      </c>
      <c r="J10" s="70" t="n">
        <v>3762.1</v>
      </c>
      <c r="K10" s="70" t="n">
        <v>4423.65</v>
      </c>
      <c r="L10" s="70" t="n">
        <v>4481.29</v>
      </c>
      <c r="M10" s="70" t="n">
        <v>4512.93</v>
      </c>
      <c r="N10" s="70" t="n">
        <v>4236.79</v>
      </c>
      <c r="O10" s="70" t="n">
        <v>4003.47</v>
      </c>
      <c r="P10" s="28">
        <f>SUM(D10:O10)</f>
        <v/>
      </c>
    </row>
    <row r="11">
      <c r="A11" s="68">
        <f>Stammdaten!A11</f>
        <v/>
      </c>
      <c r="B11" s="69">
        <f>Stammdaten!B11</f>
        <v/>
      </c>
      <c r="C11" s="69">
        <f>Stammdaten!C11</f>
        <v/>
      </c>
      <c r="D11" s="70" t="n">
        <v>6921.93</v>
      </c>
      <c r="E11" s="70" t="n">
        <v>6786.33</v>
      </c>
      <c r="F11" s="70" t="n">
        <v>6653.3</v>
      </c>
      <c r="G11" s="70" t="n">
        <v>6637.96</v>
      </c>
      <c r="H11" s="70" t="n">
        <v>6479.12</v>
      </c>
      <c r="I11" s="70" t="n">
        <v>6810.72</v>
      </c>
      <c r="J11" s="70" t="n">
        <v>5859.68</v>
      </c>
      <c r="K11" s="70" t="n">
        <v>6568.19</v>
      </c>
      <c r="L11" s="70" t="n">
        <v>6524.81</v>
      </c>
      <c r="M11" s="70" t="n">
        <v>6798.64</v>
      </c>
      <c r="N11" s="70" t="n">
        <v>6711.44</v>
      </c>
      <c r="O11" s="70" t="n">
        <v>6325.67</v>
      </c>
      <c r="P11" s="28">
        <f>SUM(D11:O11)</f>
        <v/>
      </c>
    </row>
    <row r="12">
      <c r="A12" s="68">
        <f>Stammdaten!A12</f>
        <v/>
      </c>
      <c r="B12" s="69">
        <f>Stammdaten!B12</f>
        <v/>
      </c>
      <c r="C12" s="69">
        <f>Stammdaten!C12</f>
        <v/>
      </c>
      <c r="D12" s="70" t="n">
        <v>4868.81</v>
      </c>
      <c r="E12" s="70" t="n">
        <v>4888.93</v>
      </c>
      <c r="F12" s="70" t="n">
        <v>4638</v>
      </c>
      <c r="G12" s="70" t="n">
        <v>4649.68</v>
      </c>
      <c r="H12" s="70" t="n">
        <v>4675.78</v>
      </c>
      <c r="I12" s="70" t="n">
        <v>4637.27</v>
      </c>
      <c r="J12" s="70" t="n">
        <v>4490.05</v>
      </c>
      <c r="K12" s="70" t="n">
        <v>4882.23</v>
      </c>
      <c r="L12" s="70" t="n">
        <v>4882.46</v>
      </c>
      <c r="M12" s="70" t="n">
        <v>4519.38</v>
      </c>
      <c r="N12" s="70" t="n">
        <v>4519.11</v>
      </c>
      <c r="O12" s="70" t="n">
        <v>3865.46</v>
      </c>
      <c r="P12" s="28">
        <f>SUM(D12:O12)</f>
        <v/>
      </c>
    </row>
    <row r="13">
      <c r="A13" s="68">
        <f>Stammdaten!A13</f>
        <v/>
      </c>
      <c r="B13" s="69">
        <f>Stammdaten!B13</f>
        <v/>
      </c>
      <c r="C13" s="69">
        <f>Stammdaten!C13</f>
        <v/>
      </c>
      <c r="D13" s="70" t="n">
        <v>6595.61</v>
      </c>
      <c r="E13" s="70" t="n">
        <v>6675.53</v>
      </c>
      <c r="F13" s="70" t="n">
        <v>6633.95</v>
      </c>
      <c r="G13" s="70" t="n">
        <v>6757.67</v>
      </c>
      <c r="H13" s="70" t="n">
        <v>6813.89</v>
      </c>
      <c r="I13" s="70" t="n">
        <v>6730.11</v>
      </c>
      <c r="J13" s="70" t="n">
        <v>6078.1</v>
      </c>
      <c r="K13" s="70" t="n">
        <v>6609.1</v>
      </c>
      <c r="L13" s="70" t="n">
        <v>6490.24</v>
      </c>
      <c r="M13" s="70" t="n">
        <v>6894.47</v>
      </c>
      <c r="N13" s="70" t="n">
        <v>6496.35</v>
      </c>
      <c r="O13" s="70" t="n">
        <v>5717.1</v>
      </c>
      <c r="P13" s="28">
        <f>SUM(D13:O13)</f>
        <v/>
      </c>
    </row>
    <row r="14">
      <c r="A14" s="68">
        <f>Stammdaten!A14</f>
        <v/>
      </c>
      <c r="B14" s="69">
        <f>Stammdaten!B14</f>
        <v/>
      </c>
      <c r="C14" s="69">
        <f>Stammdaten!C14</f>
        <v/>
      </c>
      <c r="D14" s="70" t="n">
        <v>3711.47</v>
      </c>
      <c r="E14" s="70" t="n">
        <v>3860.32</v>
      </c>
      <c r="F14" s="70" t="n">
        <v>3687.95</v>
      </c>
      <c r="G14" s="70" t="n">
        <v>3758.53</v>
      </c>
      <c r="H14" s="70" t="n">
        <v>3797.69</v>
      </c>
      <c r="I14" s="70" t="n">
        <v>3707.38</v>
      </c>
      <c r="J14" s="70" t="n">
        <v>3489.56</v>
      </c>
      <c r="K14" s="70" t="n">
        <v>3786.66</v>
      </c>
      <c r="L14" s="70" t="n">
        <v>3814.33</v>
      </c>
      <c r="M14" s="70" t="n">
        <v>3949.93</v>
      </c>
      <c r="N14" s="70" t="n">
        <v>3730.16</v>
      </c>
      <c r="O14" s="70" t="n">
        <v>3529.67</v>
      </c>
      <c r="P14" s="28">
        <f>SUM(D14:O14)</f>
        <v/>
      </c>
    </row>
    <row r="15">
      <c r="A15" s="68">
        <f>Stammdaten!A15</f>
        <v/>
      </c>
      <c r="B15" s="69">
        <f>Stammdaten!B15</f>
        <v/>
      </c>
      <c r="C15" s="69">
        <f>Stammdaten!C15</f>
        <v/>
      </c>
      <c r="D15" s="70" t="n">
        <v>6759.4</v>
      </c>
      <c r="E15" s="70" t="n">
        <v>6707.1</v>
      </c>
      <c r="F15" s="70" t="n">
        <v>6539.5</v>
      </c>
      <c r="G15" s="70" t="n">
        <v>6768.24</v>
      </c>
      <c r="H15" s="70" t="n">
        <v>7055.34</v>
      </c>
      <c r="I15" s="70" t="n">
        <v>7121.74</v>
      </c>
      <c r="J15" s="70" t="n">
        <v>6609.41</v>
      </c>
      <c r="K15" s="70" t="n">
        <v>7000.69</v>
      </c>
      <c r="L15" s="70" t="n">
        <v>7016.71</v>
      </c>
      <c r="M15" s="70" t="n">
        <v>6642.4</v>
      </c>
      <c r="N15" s="70" t="n">
        <v>6988.35</v>
      </c>
      <c r="O15" s="70" t="n">
        <v>6158.33</v>
      </c>
      <c r="P15" s="28">
        <f>SUM(D15:O15)</f>
        <v/>
      </c>
    </row>
    <row r="16">
      <c r="A16" s="68">
        <f>Stammdaten!A16</f>
        <v/>
      </c>
      <c r="B16" s="69">
        <f>Stammdaten!B16</f>
        <v/>
      </c>
      <c r="C16" s="69">
        <f>Stammdaten!C16</f>
        <v/>
      </c>
      <c r="D16" s="70" t="n">
        <v>5400.39</v>
      </c>
      <c r="E16" s="70" t="n">
        <v>5449.88</v>
      </c>
      <c r="F16" s="70" t="n">
        <v>5548.45</v>
      </c>
      <c r="G16" s="70" t="n">
        <v>5484.89</v>
      </c>
      <c r="H16" s="70" t="n">
        <v>5825.91</v>
      </c>
      <c r="I16" s="70" t="n">
        <v>5636.81</v>
      </c>
      <c r="J16" s="70" t="n">
        <v>5083.56</v>
      </c>
      <c r="K16" s="70" t="n">
        <v>5871.8</v>
      </c>
      <c r="L16" s="70" t="n">
        <v>5822.85</v>
      </c>
      <c r="M16" s="70" t="n">
        <v>5619.92</v>
      </c>
      <c r="N16" s="70" t="n">
        <v>5764.18</v>
      </c>
      <c r="O16" s="70" t="n">
        <v>5329.89</v>
      </c>
      <c r="P16" s="28">
        <f>SUM(D16:O16)</f>
        <v/>
      </c>
    </row>
    <row r="17">
      <c r="A17" s="68">
        <f>Stammdaten!A17</f>
        <v/>
      </c>
      <c r="B17" s="69">
        <f>Stammdaten!B17</f>
        <v/>
      </c>
      <c r="C17" s="69">
        <f>Stammdaten!C17</f>
        <v/>
      </c>
      <c r="D17" s="70" t="n">
        <v>6278.08</v>
      </c>
      <c r="E17" s="70" t="n">
        <v>6124.27</v>
      </c>
      <c r="F17" s="70" t="n">
        <v>6479.25</v>
      </c>
      <c r="G17" s="70" t="n">
        <v>6270.39</v>
      </c>
      <c r="H17" s="70" t="n">
        <v>6264.97</v>
      </c>
      <c r="I17" s="70" t="n">
        <v>6321.73</v>
      </c>
      <c r="J17" s="70" t="n">
        <v>6010.53</v>
      </c>
      <c r="K17" s="70" t="n">
        <v>6421.72</v>
      </c>
      <c r="L17" s="70" t="n">
        <v>6317.63</v>
      </c>
      <c r="M17" s="70" t="n">
        <v>6422.62</v>
      </c>
      <c r="N17" s="70" t="n">
        <v>6079.86</v>
      </c>
      <c r="O17" s="70" t="n">
        <v>5933.44</v>
      </c>
      <c r="P17" s="28">
        <f>SUM(D17:O17)</f>
        <v/>
      </c>
    </row>
    <row r="18">
      <c r="A18" s="68">
        <f>Stammdaten!A18</f>
        <v/>
      </c>
      <c r="B18" s="69">
        <f>Stammdaten!B18</f>
        <v/>
      </c>
      <c r="C18" s="69">
        <f>Stammdaten!C18</f>
        <v/>
      </c>
      <c r="D18" s="70" t="n">
        <v>5561.92</v>
      </c>
      <c r="E18" s="70" t="n">
        <v>5365.99</v>
      </c>
      <c r="F18" s="70" t="n">
        <v>5455.25</v>
      </c>
      <c r="G18" s="70" t="n">
        <v>5420.93</v>
      </c>
      <c r="H18" s="70" t="n">
        <v>5402.13</v>
      </c>
      <c r="I18" s="70" t="n">
        <v>5241.29</v>
      </c>
      <c r="J18" s="70" t="n">
        <v>4660.94</v>
      </c>
      <c r="K18" s="70" t="n">
        <v>5281</v>
      </c>
      <c r="L18" s="70" t="n">
        <v>5283.23</v>
      </c>
      <c r="M18" s="70" t="n">
        <v>5416.09</v>
      </c>
      <c r="N18" s="70" t="n">
        <v>5239.44</v>
      </c>
      <c r="O18" s="70" t="n">
        <v>5303.25</v>
      </c>
      <c r="P18" s="28">
        <f>SUM(D18:O18)</f>
        <v/>
      </c>
    </row>
    <row r="19">
      <c r="A19" s="71">
        <f>Stammdaten!A19</f>
        <v/>
      </c>
      <c r="B19" s="72">
        <f>Stammdaten!B19</f>
        <v/>
      </c>
      <c r="C19" s="72">
        <f>Stammdaten!C19</f>
        <v/>
      </c>
      <c r="D19" s="70" t="n">
        <v>4127.07</v>
      </c>
      <c r="E19" s="70" t="n">
        <v>4488.37</v>
      </c>
      <c r="F19" s="70" t="n">
        <v>4186.61</v>
      </c>
      <c r="G19" s="70" t="n">
        <v>4321.01</v>
      </c>
      <c r="H19" s="70" t="n">
        <v>4420.68</v>
      </c>
      <c r="I19" s="70" t="n">
        <v>4405.79</v>
      </c>
      <c r="J19" s="70" t="n">
        <v>3883.61</v>
      </c>
      <c r="K19" s="70" t="n">
        <v>4487.87</v>
      </c>
      <c r="L19" s="70" t="n">
        <v>4415.09</v>
      </c>
      <c r="M19" s="70" t="n">
        <v>4441.25</v>
      </c>
      <c r="N19" s="70" t="n">
        <v>4245.54</v>
      </c>
      <c r="O19" s="70" t="n">
        <v>3787.3</v>
      </c>
      <c r="P19" s="28">
        <f>SUM(D19:O19)</f>
        <v/>
      </c>
    </row>
    <row r="20">
      <c r="A20" s="71">
        <f>Stammdaten!A20</f>
        <v/>
      </c>
      <c r="B20" s="72">
        <f>Stammdaten!B20</f>
        <v/>
      </c>
      <c r="C20" s="72">
        <f>Stammdaten!C20</f>
        <v/>
      </c>
      <c r="D20" s="70" t="n">
        <v>3868.32</v>
      </c>
      <c r="E20" s="70" t="n">
        <v>3975.92</v>
      </c>
      <c r="F20" s="70" t="n">
        <v>4008.35</v>
      </c>
      <c r="G20" s="70" t="n">
        <v>4067.15</v>
      </c>
      <c r="H20" s="70" t="n">
        <v>4173.01</v>
      </c>
      <c r="I20" s="70" t="n">
        <v>3954.14</v>
      </c>
      <c r="J20" s="70" t="n">
        <v>3590.31</v>
      </c>
      <c r="K20" s="70" t="n">
        <v>3999.08</v>
      </c>
      <c r="L20" s="70" t="n">
        <v>4102.23</v>
      </c>
      <c r="M20" s="70" t="n">
        <v>4169.59</v>
      </c>
      <c r="N20" s="70" t="n">
        <v>3898.88</v>
      </c>
      <c r="O20" s="70" t="n">
        <v>3751.87</v>
      </c>
      <c r="P20" s="28">
        <f>SUM(D20:O20)</f>
        <v/>
      </c>
    </row>
    <row r="21">
      <c r="A21" s="71">
        <f>Stammdaten!A21</f>
        <v/>
      </c>
      <c r="B21" s="72">
        <f>Stammdaten!B21</f>
        <v/>
      </c>
      <c r="C21" s="72">
        <f>Stammdaten!C21</f>
        <v/>
      </c>
      <c r="D21" s="70" t="n">
        <v>4845.4</v>
      </c>
      <c r="E21" s="70" t="n">
        <v>4970.1</v>
      </c>
      <c r="F21" s="70" t="n">
        <v>4910.09</v>
      </c>
      <c r="G21" s="70" t="n">
        <v>4865.25</v>
      </c>
      <c r="H21" s="70" t="n">
        <v>4812.66</v>
      </c>
      <c r="I21" s="70" t="n">
        <v>4805.61</v>
      </c>
      <c r="J21" s="70" t="n">
        <v>4437.68</v>
      </c>
      <c r="K21" s="70" t="n">
        <v>4761.68</v>
      </c>
      <c r="L21" s="70" t="n">
        <v>5039.71</v>
      </c>
      <c r="M21" s="70" t="n">
        <v>4831.83</v>
      </c>
      <c r="N21" s="70" t="n">
        <v>4663.16</v>
      </c>
      <c r="O21" s="70" t="n">
        <v>4497.38</v>
      </c>
      <c r="P21" s="28">
        <f>SUM(D21:O21)</f>
        <v/>
      </c>
    </row>
    <row r="22">
      <c r="A22" s="71">
        <f>Stammdaten!A22</f>
        <v/>
      </c>
      <c r="B22" s="72">
        <f>Stammdaten!B22</f>
        <v/>
      </c>
      <c r="C22" s="72">
        <f>Stammdaten!C22</f>
        <v/>
      </c>
      <c r="D22" s="70" t="n">
        <v>3868.92</v>
      </c>
      <c r="E22" s="70" t="n">
        <v>3938.4</v>
      </c>
      <c r="F22" s="70" t="n">
        <v>3784.6</v>
      </c>
      <c r="G22" s="70" t="n">
        <v>3657.82</v>
      </c>
      <c r="H22" s="70" t="n">
        <v>3746.89</v>
      </c>
      <c r="I22" s="70" t="n">
        <v>3813.43</v>
      </c>
      <c r="J22" s="70" t="n">
        <v>3567.37</v>
      </c>
      <c r="K22" s="70" t="n">
        <v>3830.1</v>
      </c>
      <c r="L22" s="70" t="n">
        <v>3735.33</v>
      </c>
      <c r="M22" s="70" t="n">
        <v>3786.71</v>
      </c>
      <c r="N22" s="70" t="n">
        <v>3902.17</v>
      </c>
      <c r="O22" s="70" t="n">
        <v>3565.96</v>
      </c>
      <c r="P22" s="28">
        <f>SUM(D22:O22)</f>
        <v/>
      </c>
    </row>
    <row r="23">
      <c r="A23" s="71">
        <f>Stammdaten!A23</f>
        <v/>
      </c>
      <c r="B23" s="72">
        <f>Stammdaten!B23</f>
        <v/>
      </c>
      <c r="C23" s="72">
        <f>Stammdaten!C23</f>
        <v/>
      </c>
      <c r="D23" s="70" t="n">
        <v>5617.17</v>
      </c>
      <c r="E23" s="70" t="n">
        <v>5950.03</v>
      </c>
      <c r="F23" s="70" t="n">
        <v>5570</v>
      </c>
      <c r="G23" s="70" t="n">
        <v>5814.37</v>
      </c>
      <c r="H23" s="70" t="n">
        <v>5857.31</v>
      </c>
      <c r="I23" s="70" t="n">
        <v>5523.97</v>
      </c>
      <c r="J23" s="70" t="n">
        <v>5111.08</v>
      </c>
      <c r="K23" s="70" t="n">
        <v>5636.87</v>
      </c>
      <c r="L23" s="70" t="n">
        <v>5960.23</v>
      </c>
      <c r="M23" s="70" t="n">
        <v>5930.41</v>
      </c>
      <c r="N23" s="70" t="n">
        <v>5864.23</v>
      </c>
      <c r="O23" s="70" t="n">
        <v>4904.56</v>
      </c>
      <c r="P23" s="28">
        <f>SUM(D23:O23)</f>
        <v/>
      </c>
    </row>
    <row r="24">
      <c r="A24" s="71">
        <f>Stammdaten!A24</f>
        <v/>
      </c>
      <c r="B24" s="72">
        <f>Stammdaten!B24</f>
        <v/>
      </c>
      <c r="C24" s="72">
        <f>Stammdaten!C24</f>
        <v/>
      </c>
      <c r="D24" s="70" t="n">
        <v>5576.52</v>
      </c>
      <c r="E24" s="70" t="n">
        <v>5376.25</v>
      </c>
      <c r="F24" s="70" t="n">
        <v>5616.82</v>
      </c>
      <c r="G24" s="70" t="n">
        <v>5474.79</v>
      </c>
      <c r="H24" s="70" t="n">
        <v>5812.02</v>
      </c>
      <c r="I24" s="70" t="n">
        <v>5422.91</v>
      </c>
      <c r="J24" s="70" t="n">
        <v>5371.87</v>
      </c>
      <c r="K24" s="70" t="n">
        <v>5380.79</v>
      </c>
      <c r="L24" s="70" t="n">
        <v>5535.76</v>
      </c>
      <c r="M24" s="70" t="n">
        <v>5586.61</v>
      </c>
      <c r="N24" s="70" t="n">
        <v>5599.65</v>
      </c>
      <c r="O24" s="70" t="n">
        <v>4925.72</v>
      </c>
      <c r="P24" s="28">
        <f>SUM(D24:O24)</f>
        <v/>
      </c>
    </row>
    <row r="25">
      <c r="A25" s="71">
        <f>Stammdaten!A25</f>
        <v/>
      </c>
      <c r="B25" s="72">
        <f>Stammdaten!B25</f>
        <v/>
      </c>
      <c r="C25" s="72">
        <f>Stammdaten!C25</f>
        <v/>
      </c>
      <c r="D25" s="70" t="n">
        <v>4936.83</v>
      </c>
      <c r="E25" s="70" t="n">
        <v>4977.91</v>
      </c>
      <c r="F25" s="70" t="n">
        <v>4926.24</v>
      </c>
      <c r="G25" s="70" t="n">
        <v>5230.5</v>
      </c>
      <c r="H25" s="70" t="n">
        <v>5222.14</v>
      </c>
      <c r="I25" s="70" t="n">
        <v>5106.14</v>
      </c>
      <c r="J25" s="70" t="n">
        <v>4370.95</v>
      </c>
      <c r="K25" s="70" t="n">
        <v>4976.12</v>
      </c>
      <c r="L25" s="70" t="n">
        <v>5187.48</v>
      </c>
      <c r="M25" s="70" t="n">
        <v>4895.69</v>
      </c>
      <c r="N25" s="70" t="n">
        <v>4830.41</v>
      </c>
      <c r="O25" s="70" t="n">
        <v>4461.69</v>
      </c>
      <c r="P25" s="28">
        <f>SUM(D25:O25)</f>
        <v/>
      </c>
    </row>
    <row r="26">
      <c r="A26" s="71">
        <f>Stammdaten!A26</f>
        <v/>
      </c>
      <c r="B26" s="72">
        <f>Stammdaten!B26</f>
        <v/>
      </c>
      <c r="C26" s="72">
        <f>Stammdaten!C26</f>
        <v/>
      </c>
      <c r="D26" s="70" t="n">
        <v>4597.36</v>
      </c>
      <c r="E26" s="70" t="n">
        <v>4643.39</v>
      </c>
      <c r="F26" s="70" t="n">
        <v>4599.57</v>
      </c>
      <c r="G26" s="70" t="n">
        <v>4566.61</v>
      </c>
      <c r="H26" s="70" t="n">
        <v>4801.53</v>
      </c>
      <c r="I26" s="70" t="n">
        <v>4774.23</v>
      </c>
      <c r="J26" s="70" t="n">
        <v>4574.41</v>
      </c>
      <c r="K26" s="70" t="n">
        <v>4953.97</v>
      </c>
      <c r="L26" s="70" t="n">
        <v>4947.36</v>
      </c>
      <c r="M26" s="70" t="n">
        <v>4721.53</v>
      </c>
      <c r="N26" s="70" t="n">
        <v>4802.99</v>
      </c>
      <c r="O26" s="70" t="n">
        <v>4314</v>
      </c>
      <c r="P26" s="28">
        <f>SUM(D26:O26)</f>
        <v/>
      </c>
    </row>
    <row r="27">
      <c r="A27" s="71">
        <f>Stammdaten!A27</f>
        <v/>
      </c>
      <c r="B27" s="72">
        <f>Stammdaten!B27</f>
        <v/>
      </c>
      <c r="C27" s="72">
        <f>Stammdaten!C27</f>
        <v/>
      </c>
      <c r="D27" s="70" t="n">
        <v>5005.66</v>
      </c>
      <c r="E27" s="70" t="n">
        <v>5321.11</v>
      </c>
      <c r="F27" s="70" t="n">
        <v>5145.96</v>
      </c>
      <c r="G27" s="70" t="n">
        <v>5139.67</v>
      </c>
      <c r="H27" s="70" t="n">
        <v>5212.15</v>
      </c>
      <c r="I27" s="70" t="n">
        <v>5289.89</v>
      </c>
      <c r="J27" s="70" t="n">
        <v>4494.66</v>
      </c>
      <c r="K27" s="70" t="n">
        <v>5312.13</v>
      </c>
      <c r="L27" s="70" t="n">
        <v>5245.07</v>
      </c>
      <c r="M27" s="70" t="n">
        <v>5323.41</v>
      </c>
      <c r="N27" s="70" t="n">
        <v>5169.74</v>
      </c>
      <c r="O27" s="70" t="n">
        <v>4980.6</v>
      </c>
      <c r="P27" s="28">
        <f>SUM(D27:O27)</f>
        <v/>
      </c>
    </row>
    <row r="28">
      <c r="A28" s="71">
        <f>Stammdaten!A28</f>
        <v/>
      </c>
      <c r="B28" s="72">
        <f>Stammdaten!B28</f>
        <v/>
      </c>
      <c r="C28" s="72">
        <f>Stammdaten!C28</f>
        <v/>
      </c>
      <c r="D28" s="70" t="n">
        <v>5522.88</v>
      </c>
      <c r="E28" s="70" t="n">
        <v>5668.52</v>
      </c>
      <c r="F28" s="70" t="n">
        <v>5644.53</v>
      </c>
      <c r="G28" s="70" t="n">
        <v>5494.04</v>
      </c>
      <c r="H28" s="70" t="n">
        <v>5522.46</v>
      </c>
      <c r="I28" s="70" t="n">
        <v>5754.79</v>
      </c>
      <c r="J28" s="70" t="n">
        <v>4984.66</v>
      </c>
      <c r="K28" s="70" t="n">
        <v>5660.88</v>
      </c>
      <c r="L28" s="70" t="n">
        <v>5484.32</v>
      </c>
      <c r="M28" s="70" t="n">
        <v>5660.14</v>
      </c>
      <c r="N28" s="70" t="n">
        <v>5683.47</v>
      </c>
      <c r="O28" s="70" t="n">
        <v>5182.21</v>
      </c>
      <c r="P28" s="28">
        <f>SUM(D28:O28)</f>
        <v/>
      </c>
    </row>
    <row r="29">
      <c r="A29" s="68">
        <f>Stammdaten!A29</f>
        <v/>
      </c>
      <c r="B29" s="69">
        <f>Stammdaten!B29</f>
        <v/>
      </c>
      <c r="C29" s="69">
        <f>Stammdaten!C29</f>
        <v/>
      </c>
      <c r="D29" s="70" t="n">
        <v>4208.36</v>
      </c>
      <c r="E29" s="70" t="n">
        <v>3882.3</v>
      </c>
      <c r="F29" s="70" t="n">
        <v>4032.05</v>
      </c>
      <c r="G29" s="70" t="n">
        <v>3960.02</v>
      </c>
      <c r="H29" s="70" t="n">
        <v>3971.88</v>
      </c>
      <c r="I29" s="70" t="n">
        <v>3917.86</v>
      </c>
      <c r="J29" s="70" t="n">
        <v>3435.55</v>
      </c>
      <c r="K29" s="70" t="n">
        <v>4031.76</v>
      </c>
      <c r="L29" s="70" t="n">
        <v>4115.09</v>
      </c>
      <c r="M29" s="70" t="n">
        <v>4087.41</v>
      </c>
      <c r="N29" s="70" t="n">
        <v>4071.57</v>
      </c>
      <c r="O29" s="70" t="n">
        <v>3399.2</v>
      </c>
      <c r="P29" s="28">
        <f>SUM(D29:O29)</f>
        <v/>
      </c>
    </row>
    <row r="30">
      <c r="A30" s="68">
        <f>Stammdaten!A30</f>
        <v/>
      </c>
      <c r="B30" s="69">
        <f>Stammdaten!B30</f>
        <v/>
      </c>
      <c r="C30" s="69">
        <f>Stammdaten!C30</f>
        <v/>
      </c>
      <c r="D30" s="70" t="n">
        <v>5397.22</v>
      </c>
      <c r="E30" s="70" t="n">
        <v>5737.82</v>
      </c>
      <c r="F30" s="70" t="n">
        <v>5682.9</v>
      </c>
      <c r="G30" s="70" t="n">
        <v>5770.18</v>
      </c>
      <c r="H30" s="70" t="n">
        <v>5495.73</v>
      </c>
      <c r="I30" s="70" t="n">
        <v>5770.47</v>
      </c>
      <c r="J30" s="70" t="n">
        <v>4992.57</v>
      </c>
      <c r="K30" s="70" t="n">
        <v>5597.23</v>
      </c>
      <c r="L30" s="70" t="n">
        <v>5767.32</v>
      </c>
      <c r="M30" s="70" t="n">
        <v>5586.18</v>
      </c>
      <c r="N30" s="70" t="n">
        <v>5475.84</v>
      </c>
      <c r="O30" s="70" t="n">
        <v>5157.13</v>
      </c>
      <c r="P30" s="28">
        <f>SUM(D30:O30)</f>
        <v/>
      </c>
    </row>
    <row r="31">
      <c r="A31" s="68">
        <f>Stammdaten!A31</f>
        <v/>
      </c>
      <c r="B31" s="69">
        <f>Stammdaten!B31</f>
        <v/>
      </c>
      <c r="C31" s="69">
        <f>Stammdaten!C31</f>
        <v/>
      </c>
      <c r="D31" s="70" t="n">
        <v>4818.67</v>
      </c>
      <c r="E31" s="70" t="n">
        <v>4632.51</v>
      </c>
      <c r="F31" s="70" t="n">
        <v>4789.98</v>
      </c>
      <c r="G31" s="70" t="n">
        <v>4954.47</v>
      </c>
      <c r="H31" s="70" t="n">
        <v>4988.71</v>
      </c>
      <c r="I31" s="70" t="n">
        <v>4977.56</v>
      </c>
      <c r="J31" s="70" t="n">
        <v>4289.47</v>
      </c>
      <c r="K31" s="70" t="n">
        <v>4762.77</v>
      </c>
      <c r="L31" s="70" t="n">
        <v>4693.12</v>
      </c>
      <c r="M31" s="70" t="n">
        <v>4639.06</v>
      </c>
      <c r="N31" s="70" t="n">
        <v>4740.84</v>
      </c>
      <c r="O31" s="70" t="n">
        <v>4265.87</v>
      </c>
      <c r="P31" s="28">
        <f>SUM(D31:O31)</f>
        <v/>
      </c>
    </row>
    <row r="32">
      <c r="A32" s="68">
        <f>Stammdaten!A32</f>
        <v/>
      </c>
      <c r="B32" s="69">
        <f>Stammdaten!B32</f>
        <v/>
      </c>
      <c r="C32" s="69">
        <f>Stammdaten!C32</f>
        <v/>
      </c>
      <c r="D32" s="70" t="n">
        <v>6355.83</v>
      </c>
      <c r="E32" s="70" t="n">
        <v>6019.88</v>
      </c>
      <c r="F32" s="70" t="n">
        <v>6093.4</v>
      </c>
      <c r="G32" s="70" t="n">
        <v>6352.19</v>
      </c>
      <c r="H32" s="70" t="n">
        <v>6446.44</v>
      </c>
      <c r="I32" s="70" t="n">
        <v>6077.82</v>
      </c>
      <c r="J32" s="70" t="n">
        <v>5893.68</v>
      </c>
      <c r="K32" s="70" t="n">
        <v>6480.53</v>
      </c>
      <c r="L32" s="70" t="n">
        <v>6311.16</v>
      </c>
      <c r="M32" s="70" t="n">
        <v>6333.13</v>
      </c>
      <c r="N32" s="70" t="n">
        <v>6173.26</v>
      </c>
      <c r="O32" s="70" t="n">
        <v>5649.09</v>
      </c>
      <c r="P32" s="28">
        <f>SUM(D32:O32)</f>
        <v/>
      </c>
    </row>
    <row r="33">
      <c r="A33" s="68">
        <f>Stammdaten!A33</f>
        <v/>
      </c>
      <c r="B33" s="69">
        <f>Stammdaten!B33</f>
        <v/>
      </c>
      <c r="C33" s="69">
        <f>Stammdaten!C33</f>
        <v/>
      </c>
      <c r="D33" s="70" t="n">
        <v>6001.14</v>
      </c>
      <c r="E33" s="70" t="n">
        <v>5914.9</v>
      </c>
      <c r="F33" s="70" t="n">
        <v>5519.26</v>
      </c>
      <c r="G33" s="70" t="n">
        <v>5531.24</v>
      </c>
      <c r="H33" s="70" t="n">
        <v>5701.55</v>
      </c>
      <c r="I33" s="70" t="n">
        <v>5693.18</v>
      </c>
      <c r="J33" s="70" t="n">
        <v>5140.11</v>
      </c>
      <c r="K33" s="70" t="n">
        <v>5809.28</v>
      </c>
      <c r="L33" s="70" t="n">
        <v>5577.66</v>
      </c>
      <c r="M33" s="70" t="n">
        <v>5683.6</v>
      </c>
      <c r="N33" s="70" t="n">
        <v>5937.6</v>
      </c>
      <c r="O33" s="70" t="n">
        <v>5569.97</v>
      </c>
      <c r="P33" s="28">
        <f>SUM(D33:O33)</f>
        <v/>
      </c>
    </row>
    <row r="34">
      <c r="A34" s="68">
        <f>Stammdaten!A34</f>
        <v/>
      </c>
      <c r="B34" s="69">
        <f>Stammdaten!B34</f>
        <v/>
      </c>
      <c r="C34" s="69">
        <f>Stammdaten!C34</f>
        <v/>
      </c>
      <c r="D34" s="70" t="n">
        <v>3883.69</v>
      </c>
      <c r="E34" s="70" t="n">
        <v>4157.31</v>
      </c>
      <c r="F34" s="70" t="n">
        <v>3984.78</v>
      </c>
      <c r="G34" s="70" t="n">
        <v>4014.76</v>
      </c>
      <c r="H34" s="70" t="n">
        <v>4042.03</v>
      </c>
      <c r="I34" s="70" t="n">
        <v>4104.99</v>
      </c>
      <c r="J34" s="70" t="n">
        <v>3706.67</v>
      </c>
      <c r="K34" s="70" t="n">
        <v>3969.4</v>
      </c>
      <c r="L34" s="70" t="n">
        <v>4028.81</v>
      </c>
      <c r="M34" s="70" t="n">
        <v>4029.82</v>
      </c>
      <c r="N34" s="70" t="n">
        <v>3993.28</v>
      </c>
      <c r="O34" s="70" t="n">
        <v>3735.51</v>
      </c>
      <c r="P34" s="28">
        <f>SUM(D34:O34)</f>
        <v/>
      </c>
    </row>
    <row r="35">
      <c r="A35" s="68">
        <f>Stammdaten!A35</f>
        <v/>
      </c>
      <c r="B35" s="69">
        <f>Stammdaten!B35</f>
        <v/>
      </c>
      <c r="C35" s="69">
        <f>Stammdaten!C35</f>
        <v/>
      </c>
      <c r="D35" s="70" t="n">
        <v>4447.96</v>
      </c>
      <c r="E35" s="70" t="n">
        <v>4347.7</v>
      </c>
      <c r="F35" s="70" t="n">
        <v>4316.49</v>
      </c>
      <c r="G35" s="70" t="n">
        <v>4393.86</v>
      </c>
      <c r="H35" s="70" t="n">
        <v>4563.02</v>
      </c>
      <c r="I35" s="70" t="n">
        <v>4453.29</v>
      </c>
      <c r="J35" s="70" t="n">
        <v>4349.4</v>
      </c>
      <c r="K35" s="70" t="n">
        <v>4449.7</v>
      </c>
      <c r="L35" s="70" t="n">
        <v>4592.6</v>
      </c>
      <c r="M35" s="70" t="n">
        <v>4544.39</v>
      </c>
      <c r="N35" s="70" t="n">
        <v>4481.02</v>
      </c>
      <c r="O35" s="70" t="n">
        <v>3726.99</v>
      </c>
      <c r="P35" s="28">
        <f>SUM(D35:O35)</f>
        <v/>
      </c>
    </row>
    <row r="36">
      <c r="A36" s="68">
        <f>Stammdaten!A36</f>
        <v/>
      </c>
      <c r="B36" s="69">
        <f>Stammdaten!B36</f>
        <v/>
      </c>
      <c r="C36" s="69">
        <f>Stammdaten!C36</f>
        <v/>
      </c>
      <c r="D36" s="70" t="n">
        <v>5661.64</v>
      </c>
      <c r="E36" s="70" t="n">
        <v>5727.15</v>
      </c>
      <c r="F36" s="70" t="n">
        <v>5555.91</v>
      </c>
      <c r="G36" s="70" t="n">
        <v>5772.73</v>
      </c>
      <c r="H36" s="70" t="n">
        <v>5769.62</v>
      </c>
      <c r="I36" s="70" t="n">
        <v>5610.59</v>
      </c>
      <c r="J36" s="70" t="n">
        <v>5045.67</v>
      </c>
      <c r="K36" s="70" t="n">
        <v>5552.55</v>
      </c>
      <c r="L36" s="70" t="n">
        <v>5807.95</v>
      </c>
      <c r="M36" s="70" t="n">
        <v>5600.24</v>
      </c>
      <c r="N36" s="70" t="n">
        <v>5904.69</v>
      </c>
      <c r="O36" s="70" t="n">
        <v>5447.72</v>
      </c>
      <c r="P36" s="28">
        <f>SUM(D36:O36)</f>
        <v/>
      </c>
    </row>
    <row r="37">
      <c r="A37" s="68">
        <f>Stammdaten!A37</f>
        <v/>
      </c>
      <c r="B37" s="69">
        <f>Stammdaten!B37</f>
        <v/>
      </c>
      <c r="C37" s="69">
        <f>Stammdaten!C37</f>
        <v/>
      </c>
      <c r="D37" s="70" t="n">
        <v>4136.84</v>
      </c>
      <c r="E37" s="70" t="n">
        <v>4451.55</v>
      </c>
      <c r="F37" s="70" t="n">
        <v>4440.22</v>
      </c>
      <c r="G37" s="70" t="n">
        <v>4325.83</v>
      </c>
      <c r="H37" s="70" t="n">
        <v>4280.86</v>
      </c>
      <c r="I37" s="70" t="n">
        <v>4185.43</v>
      </c>
      <c r="J37" s="70" t="n">
        <v>4056.85</v>
      </c>
      <c r="K37" s="70" t="n">
        <v>4208.91</v>
      </c>
      <c r="L37" s="70" t="n">
        <v>4446.93</v>
      </c>
      <c r="M37" s="70" t="n">
        <v>4161.3</v>
      </c>
      <c r="N37" s="70" t="n">
        <v>4208.68</v>
      </c>
      <c r="O37" s="70" t="n">
        <v>4028.58</v>
      </c>
      <c r="P37" s="28">
        <f>SUM(D37:O37)</f>
        <v/>
      </c>
    </row>
    <row r="38">
      <c r="A38" s="68">
        <f>Stammdaten!A38</f>
        <v/>
      </c>
      <c r="B38" s="69">
        <f>Stammdaten!B38</f>
        <v/>
      </c>
      <c r="C38" s="69">
        <f>Stammdaten!C38</f>
        <v/>
      </c>
      <c r="D38" s="70" t="n">
        <v>6587.27</v>
      </c>
      <c r="E38" s="70" t="n">
        <v>6410.12</v>
      </c>
      <c r="F38" s="70" t="n">
        <v>6505.08</v>
      </c>
      <c r="G38" s="70" t="n">
        <v>6355.86</v>
      </c>
      <c r="H38" s="70" t="n">
        <v>6441.97</v>
      </c>
      <c r="I38" s="70" t="n">
        <v>6246.67</v>
      </c>
      <c r="J38" s="70" t="n">
        <v>5966.5</v>
      </c>
      <c r="K38" s="70" t="n">
        <v>6247.07</v>
      </c>
      <c r="L38" s="70" t="n">
        <v>6674.81</v>
      </c>
      <c r="M38" s="70" t="n">
        <v>6472.21</v>
      </c>
      <c r="N38" s="70" t="n">
        <v>6266.13</v>
      </c>
      <c r="O38" s="70" t="n">
        <v>5894.41</v>
      </c>
      <c r="P38" s="28">
        <f>SUM(D38:O38)</f>
        <v/>
      </c>
    </row>
    <row r="39">
      <c r="A39" s="71">
        <f>Stammdaten!A39</f>
        <v/>
      </c>
      <c r="B39" s="72">
        <f>Stammdaten!B39</f>
        <v/>
      </c>
      <c r="C39" s="72">
        <f>Stammdaten!C39</f>
        <v/>
      </c>
      <c r="D39" s="70" t="n">
        <v>4716.69</v>
      </c>
      <c r="E39" s="70" t="n">
        <v>4582.23</v>
      </c>
      <c r="F39" s="70" t="n">
        <v>4366.51</v>
      </c>
      <c r="G39" s="70" t="n">
        <v>4568.76</v>
      </c>
      <c r="H39" s="70" t="n">
        <v>4398.07</v>
      </c>
      <c r="I39" s="70" t="n">
        <v>4694.63</v>
      </c>
      <c r="J39" s="70" t="n">
        <v>4175.29</v>
      </c>
      <c r="K39" s="70" t="n">
        <v>4361.56</v>
      </c>
      <c r="L39" s="70" t="n">
        <v>4641.48</v>
      </c>
      <c r="M39" s="70" t="n">
        <v>4414.14</v>
      </c>
      <c r="N39" s="70" t="n">
        <v>4579.43</v>
      </c>
      <c r="O39" s="70" t="n">
        <v>4352.89</v>
      </c>
      <c r="P39" s="28">
        <f>SUM(D39:O39)</f>
        <v/>
      </c>
    </row>
    <row r="40">
      <c r="A40" s="71">
        <f>Stammdaten!A40</f>
        <v/>
      </c>
      <c r="B40" s="72">
        <f>Stammdaten!B40</f>
        <v/>
      </c>
      <c r="C40" s="72">
        <f>Stammdaten!C40</f>
        <v/>
      </c>
      <c r="D40" s="70" t="n">
        <v>4550.94</v>
      </c>
      <c r="E40" s="70" t="n">
        <v>4667.06</v>
      </c>
      <c r="F40" s="70" t="n">
        <v>4554.85</v>
      </c>
      <c r="G40" s="70" t="n">
        <v>4523.85</v>
      </c>
      <c r="H40" s="70" t="n">
        <v>4738.11</v>
      </c>
      <c r="I40" s="70" t="n">
        <v>4790.11</v>
      </c>
      <c r="J40" s="70" t="n">
        <v>4216.89</v>
      </c>
      <c r="K40" s="70" t="n">
        <v>4427.68</v>
      </c>
      <c r="L40" s="70" t="n">
        <v>4434.39</v>
      </c>
      <c r="M40" s="70" t="n">
        <v>4441.93</v>
      </c>
      <c r="N40" s="70" t="n">
        <v>4772.59</v>
      </c>
      <c r="O40" s="70" t="n">
        <v>4302.57</v>
      </c>
      <c r="P40" s="28">
        <f>SUM(D40:O40)</f>
        <v/>
      </c>
    </row>
    <row r="41">
      <c r="A41" s="71">
        <f>Stammdaten!A41</f>
        <v/>
      </c>
      <c r="B41" s="72">
        <f>Stammdaten!B41</f>
        <v/>
      </c>
      <c r="C41" s="72">
        <f>Stammdaten!C41</f>
        <v/>
      </c>
      <c r="D41" s="70" t="n">
        <v>6060.98</v>
      </c>
      <c r="E41" s="70" t="n">
        <v>6511.04</v>
      </c>
      <c r="F41" s="70" t="n">
        <v>6445.78</v>
      </c>
      <c r="G41" s="70" t="n">
        <v>6005.28</v>
      </c>
      <c r="H41" s="70" t="n">
        <v>6210.27</v>
      </c>
      <c r="I41" s="70" t="n">
        <v>6280.67</v>
      </c>
      <c r="J41" s="70" t="n">
        <v>5557.62</v>
      </c>
      <c r="K41" s="70" t="n">
        <v>6330.46</v>
      </c>
      <c r="L41" s="70" t="n">
        <v>5959.57</v>
      </c>
      <c r="M41" s="70" t="n">
        <v>6029.78</v>
      </c>
      <c r="N41" s="70" t="n">
        <v>6159.21</v>
      </c>
      <c r="O41" s="70" t="n">
        <v>5118.51</v>
      </c>
      <c r="P41" s="28">
        <f>SUM(D41:O41)</f>
        <v/>
      </c>
    </row>
    <row r="42">
      <c r="A42" s="71">
        <f>Stammdaten!A42</f>
        <v/>
      </c>
      <c r="B42" s="72">
        <f>Stammdaten!B42</f>
        <v/>
      </c>
      <c r="C42" s="72">
        <f>Stammdaten!C42</f>
        <v/>
      </c>
      <c r="D42" s="70" t="n">
        <v>4762.61</v>
      </c>
      <c r="E42" s="70" t="n">
        <v>4923.24</v>
      </c>
      <c r="F42" s="70" t="n">
        <v>4831.45</v>
      </c>
      <c r="G42" s="70" t="n">
        <v>4611.09</v>
      </c>
      <c r="H42" s="70" t="n">
        <v>4992.42</v>
      </c>
      <c r="I42" s="70" t="n">
        <v>4726.3</v>
      </c>
      <c r="J42" s="70" t="n">
        <v>4373.18</v>
      </c>
      <c r="K42" s="70" t="n">
        <v>4586.34</v>
      </c>
      <c r="L42" s="70" t="n">
        <v>4914.1</v>
      </c>
      <c r="M42" s="70" t="n">
        <v>4633.48</v>
      </c>
      <c r="N42" s="70" t="n">
        <v>4629.56</v>
      </c>
      <c r="O42" s="70" t="n">
        <v>4208.42</v>
      </c>
      <c r="P42" s="28">
        <f>SUM(D42:O42)</f>
        <v/>
      </c>
    </row>
    <row r="43">
      <c r="A43" s="71">
        <f>Stammdaten!A43</f>
        <v/>
      </c>
      <c r="B43" s="72">
        <f>Stammdaten!B43</f>
        <v/>
      </c>
      <c r="C43" s="72">
        <f>Stammdaten!C43</f>
        <v/>
      </c>
      <c r="D43" s="70" t="n">
        <v>6333.31</v>
      </c>
      <c r="E43" s="70" t="n">
        <v>6363.47</v>
      </c>
      <c r="F43" s="70" t="n">
        <v>6053.9</v>
      </c>
      <c r="G43" s="70" t="n">
        <v>6106.58</v>
      </c>
      <c r="H43" s="70" t="n">
        <v>6218.82</v>
      </c>
      <c r="I43" s="70" t="n">
        <v>6538.66</v>
      </c>
      <c r="J43" s="70" t="n">
        <v>5709.44</v>
      </c>
      <c r="K43" s="70" t="n">
        <v>6595.31</v>
      </c>
      <c r="L43" s="70" t="n">
        <v>6173.41</v>
      </c>
      <c r="M43" s="70" t="n">
        <v>6316.73</v>
      </c>
      <c r="N43" s="70" t="n">
        <v>6453.15</v>
      </c>
      <c r="O43" s="70" t="n">
        <v>5830.58</v>
      </c>
      <c r="P43" s="28">
        <f>SUM(D43:O43)</f>
        <v/>
      </c>
    </row>
    <row r="44">
      <c r="A44" s="71">
        <f>Stammdaten!A44</f>
        <v/>
      </c>
      <c r="B44" s="72">
        <f>Stammdaten!B44</f>
        <v/>
      </c>
      <c r="C44" s="72">
        <f>Stammdaten!C44</f>
        <v/>
      </c>
      <c r="D44" s="70" t="n">
        <v>5430.56</v>
      </c>
      <c r="E44" s="70" t="n">
        <v>5416.83</v>
      </c>
      <c r="F44" s="70" t="n">
        <v>5460.28</v>
      </c>
      <c r="G44" s="70" t="n">
        <v>5445.5</v>
      </c>
      <c r="H44" s="70" t="n">
        <v>5570.56</v>
      </c>
      <c r="I44" s="70" t="n">
        <v>5468.52</v>
      </c>
      <c r="J44" s="70" t="n">
        <v>5284.12</v>
      </c>
      <c r="K44" s="70" t="n">
        <v>5682.66</v>
      </c>
      <c r="L44" s="70" t="n">
        <v>5475.58</v>
      </c>
      <c r="M44" s="70" t="n">
        <v>5545.37</v>
      </c>
      <c r="N44" s="70" t="n">
        <v>5547.75</v>
      </c>
      <c r="O44" s="70" t="n">
        <v>4806.85</v>
      </c>
      <c r="P44" s="28">
        <f>SUM(D44:O44)</f>
        <v/>
      </c>
    </row>
    <row r="45">
      <c r="A45" s="71">
        <f>Stammdaten!A45</f>
        <v/>
      </c>
      <c r="B45" s="72">
        <f>Stammdaten!B45</f>
        <v/>
      </c>
      <c r="C45" s="72">
        <f>Stammdaten!C45</f>
        <v/>
      </c>
      <c r="D45" s="70" t="n">
        <v>4710.29</v>
      </c>
      <c r="E45" s="70" t="n">
        <v>4598.14</v>
      </c>
      <c r="F45" s="70" t="n">
        <v>4510.84</v>
      </c>
      <c r="G45" s="70" t="n">
        <v>4539.74</v>
      </c>
      <c r="H45" s="70" t="n">
        <v>4604.92</v>
      </c>
      <c r="I45" s="70" t="n">
        <v>4545</v>
      </c>
      <c r="J45" s="70" t="n">
        <v>4282.51</v>
      </c>
      <c r="K45" s="70" t="n">
        <v>4625.7</v>
      </c>
      <c r="L45" s="70" t="n">
        <v>4330.12</v>
      </c>
      <c r="M45" s="70" t="n">
        <v>4345.06</v>
      </c>
      <c r="N45" s="70" t="n">
        <v>4578.35</v>
      </c>
      <c r="O45" s="70" t="n">
        <v>4070.06</v>
      </c>
      <c r="P45" s="28">
        <f>SUM(D45:O45)</f>
        <v/>
      </c>
    </row>
    <row r="46">
      <c r="A46" s="71">
        <f>Stammdaten!A46</f>
        <v/>
      </c>
      <c r="B46" s="72">
        <f>Stammdaten!B46</f>
        <v/>
      </c>
      <c r="C46" s="72">
        <f>Stammdaten!C46</f>
        <v/>
      </c>
      <c r="D46" s="70" t="n">
        <v>5542.49</v>
      </c>
      <c r="E46" s="70" t="n">
        <v>5207.18</v>
      </c>
      <c r="F46" s="70" t="n">
        <v>5292.16</v>
      </c>
      <c r="G46" s="70" t="n">
        <v>5231.2</v>
      </c>
      <c r="H46" s="70" t="n">
        <v>5412.04</v>
      </c>
      <c r="I46" s="70" t="n">
        <v>5249.31</v>
      </c>
      <c r="J46" s="70" t="n">
        <v>5087.54</v>
      </c>
      <c r="K46" s="70" t="n">
        <v>5610.39</v>
      </c>
      <c r="L46" s="70" t="n">
        <v>5498.59</v>
      </c>
      <c r="M46" s="70" t="n">
        <v>5322.08</v>
      </c>
      <c r="N46" s="70" t="n">
        <v>5211.26</v>
      </c>
      <c r="O46" s="70" t="n">
        <v>4915.54</v>
      </c>
      <c r="P46" s="28">
        <f>SUM(D46:O46)</f>
        <v/>
      </c>
    </row>
    <row r="47">
      <c r="A47" s="71">
        <f>Stammdaten!A47</f>
        <v/>
      </c>
      <c r="B47" s="72">
        <f>Stammdaten!B47</f>
        <v/>
      </c>
      <c r="C47" s="72">
        <f>Stammdaten!C47</f>
        <v/>
      </c>
      <c r="D47" s="70" t="n">
        <v>6305.96</v>
      </c>
      <c r="E47" s="70" t="n">
        <v>6599.53</v>
      </c>
      <c r="F47" s="70" t="n">
        <v>6543.94</v>
      </c>
      <c r="G47" s="70" t="n">
        <v>6174.22</v>
      </c>
      <c r="H47" s="70" t="n">
        <v>6564.47</v>
      </c>
      <c r="I47" s="70" t="n">
        <v>6089.54</v>
      </c>
      <c r="J47" s="70" t="n">
        <v>6084.1</v>
      </c>
      <c r="K47" s="70" t="n">
        <v>6326.7</v>
      </c>
      <c r="L47" s="70" t="n">
        <v>6366.51</v>
      </c>
      <c r="M47" s="70" t="n">
        <v>6144.57</v>
      </c>
      <c r="N47" s="70" t="n">
        <v>6223.44</v>
      </c>
      <c r="O47" s="70" t="n">
        <v>5768.84</v>
      </c>
      <c r="P47" s="28">
        <f>SUM(D47:O47)</f>
        <v/>
      </c>
    </row>
    <row r="48">
      <c r="A48" s="71">
        <f>Stammdaten!A48</f>
        <v/>
      </c>
      <c r="B48" s="72">
        <f>Stammdaten!B48</f>
        <v/>
      </c>
      <c r="C48" s="72">
        <f>Stammdaten!C48</f>
        <v/>
      </c>
      <c r="D48" s="70" t="n">
        <v>5820.18</v>
      </c>
      <c r="E48" s="70" t="n">
        <v>5766.09</v>
      </c>
      <c r="F48" s="70" t="n">
        <v>6002.67</v>
      </c>
      <c r="G48" s="70" t="n">
        <v>5890.63</v>
      </c>
      <c r="H48" s="70" t="n">
        <v>5876.36</v>
      </c>
      <c r="I48" s="70" t="n">
        <v>6184.77</v>
      </c>
      <c r="J48" s="70" t="n">
        <v>5453.5</v>
      </c>
      <c r="K48" s="70" t="n">
        <v>5900.73</v>
      </c>
      <c r="L48" s="70" t="n">
        <v>5838.55</v>
      </c>
      <c r="M48" s="70" t="n">
        <v>5967.71</v>
      </c>
      <c r="N48" s="70" t="n">
        <v>5854.44</v>
      </c>
      <c r="O48" s="70" t="n">
        <v>5497.69</v>
      </c>
      <c r="P48" s="28">
        <f>SUM(D48:O48)</f>
        <v/>
      </c>
    </row>
    <row r="49">
      <c r="A49" s="68">
        <f>Stammdaten!A49</f>
        <v/>
      </c>
      <c r="B49" s="69">
        <f>Stammdaten!B49</f>
        <v/>
      </c>
      <c r="C49" s="69">
        <f>Stammdaten!C49</f>
        <v/>
      </c>
      <c r="D49" s="70" t="n">
        <v>5965.16</v>
      </c>
      <c r="E49" s="70" t="n">
        <v>5896.76</v>
      </c>
      <c r="F49" s="70" t="n">
        <v>5755.33</v>
      </c>
      <c r="G49" s="70" t="n">
        <v>6062.97</v>
      </c>
      <c r="H49" s="70" t="n">
        <v>5800.93</v>
      </c>
      <c r="I49" s="70" t="n">
        <v>5758.5</v>
      </c>
      <c r="J49" s="70" t="n">
        <v>5717.53</v>
      </c>
      <c r="K49" s="70" t="n">
        <v>5994.24</v>
      </c>
      <c r="L49" s="70" t="n">
        <v>5918.48</v>
      </c>
      <c r="M49" s="70" t="n">
        <v>5974.3</v>
      </c>
      <c r="N49" s="70" t="n">
        <v>5839.11</v>
      </c>
      <c r="O49" s="70" t="n">
        <v>5397.65</v>
      </c>
      <c r="P49" s="28">
        <f>SUM(D49:O49)</f>
        <v/>
      </c>
    </row>
    <row r="50">
      <c r="A50" s="68">
        <f>Stammdaten!A50</f>
        <v/>
      </c>
      <c r="B50" s="69">
        <f>Stammdaten!B50</f>
        <v/>
      </c>
      <c r="C50" s="69">
        <f>Stammdaten!C50</f>
        <v/>
      </c>
      <c r="D50" s="70" t="n">
        <v>6325.77</v>
      </c>
      <c r="E50" s="70" t="n">
        <v>6487.72</v>
      </c>
      <c r="F50" s="70" t="n">
        <v>6648.38</v>
      </c>
      <c r="G50" s="70" t="n">
        <v>6754.65</v>
      </c>
      <c r="H50" s="70" t="n">
        <v>6262.17</v>
      </c>
      <c r="I50" s="70" t="n">
        <v>6472.29</v>
      </c>
      <c r="J50" s="70" t="n">
        <v>6073.28</v>
      </c>
      <c r="K50" s="70" t="n">
        <v>6242.39</v>
      </c>
      <c r="L50" s="70" t="n">
        <v>6231.43</v>
      </c>
      <c r="M50" s="70" t="n">
        <v>6272.32</v>
      </c>
      <c r="N50" s="70" t="n">
        <v>6638.72</v>
      </c>
      <c r="O50" s="70" t="n">
        <v>5787.96</v>
      </c>
      <c r="P50" s="28">
        <f>SUM(D50:O50)</f>
        <v/>
      </c>
    </row>
    <row r="51">
      <c r="A51" s="68">
        <f>Stammdaten!A51</f>
        <v/>
      </c>
      <c r="B51" s="69">
        <f>Stammdaten!B51</f>
        <v/>
      </c>
      <c r="C51" s="69">
        <f>Stammdaten!C51</f>
        <v/>
      </c>
      <c r="D51" s="70" t="n">
        <v>4968.49</v>
      </c>
      <c r="E51" s="70" t="n">
        <v>5241.64</v>
      </c>
      <c r="F51" s="70" t="n">
        <v>5078.44</v>
      </c>
      <c r="G51" s="70" t="n">
        <v>5112.51</v>
      </c>
      <c r="H51" s="70" t="n">
        <v>5079.83</v>
      </c>
      <c r="I51" s="70" t="n">
        <v>5349.67</v>
      </c>
      <c r="J51" s="70" t="n">
        <v>4591.22</v>
      </c>
      <c r="K51" s="70" t="n">
        <v>5362.87</v>
      </c>
      <c r="L51" s="70" t="n">
        <v>4964.78</v>
      </c>
      <c r="M51" s="70" t="n">
        <v>5290.18</v>
      </c>
      <c r="N51" s="70" t="n">
        <v>5356.27</v>
      </c>
      <c r="O51" s="70" t="n">
        <v>4776.29</v>
      </c>
      <c r="P51" s="28">
        <f>SUM(D51:O51)</f>
        <v/>
      </c>
    </row>
    <row r="52">
      <c r="A52" s="68">
        <f>Stammdaten!A52</f>
        <v/>
      </c>
      <c r="B52" s="69">
        <f>Stammdaten!B52</f>
        <v/>
      </c>
      <c r="C52" s="69">
        <f>Stammdaten!C52</f>
        <v/>
      </c>
      <c r="D52" s="70" t="n">
        <v>4235.06</v>
      </c>
      <c r="E52" s="70" t="n">
        <v>4460.18</v>
      </c>
      <c r="F52" s="70" t="n">
        <v>4419.1</v>
      </c>
      <c r="G52" s="70" t="n">
        <v>4526.79</v>
      </c>
      <c r="H52" s="70" t="n">
        <v>4255.42</v>
      </c>
      <c r="I52" s="70" t="n">
        <v>4393.25</v>
      </c>
      <c r="J52" s="70" t="n">
        <v>4189.58</v>
      </c>
      <c r="K52" s="70" t="n">
        <v>4178.79</v>
      </c>
      <c r="L52" s="70" t="n">
        <v>4372.11</v>
      </c>
      <c r="M52" s="70" t="n">
        <v>4464.3</v>
      </c>
      <c r="N52" s="70" t="n">
        <v>4549.13</v>
      </c>
      <c r="O52" s="70" t="n">
        <v>4210.7</v>
      </c>
      <c r="P52" s="28">
        <f>SUM(D52:O52)</f>
        <v/>
      </c>
    </row>
    <row r="53">
      <c r="A53" s="68">
        <f>Stammdaten!A53</f>
        <v/>
      </c>
      <c r="B53" s="69">
        <f>Stammdaten!B53</f>
        <v/>
      </c>
      <c r="C53" s="69">
        <f>Stammdaten!C53</f>
        <v/>
      </c>
      <c r="D53" s="70" t="n">
        <v>6308.1</v>
      </c>
      <c r="E53" s="70" t="n">
        <v>6114.1</v>
      </c>
      <c r="F53" s="70" t="n">
        <v>5979.61</v>
      </c>
      <c r="G53" s="70" t="n">
        <v>6152.58</v>
      </c>
      <c r="H53" s="70" t="n">
        <v>5924.95</v>
      </c>
      <c r="I53" s="70" t="n">
        <v>6133</v>
      </c>
      <c r="J53" s="70" t="n">
        <v>5509.13</v>
      </c>
      <c r="K53" s="70" t="n">
        <v>6115.85</v>
      </c>
      <c r="L53" s="70" t="n">
        <v>6052.35</v>
      </c>
      <c r="M53" s="70" t="n">
        <v>5929.73</v>
      </c>
      <c r="N53" s="70" t="n">
        <v>5960.92</v>
      </c>
      <c r="O53" s="70" t="n">
        <v>5629.88</v>
      </c>
      <c r="P53" s="28">
        <f>SUM(D53:O53)</f>
        <v/>
      </c>
    </row>
    <row r="54">
      <c r="A54" s="68">
        <f>Stammdaten!A54</f>
        <v/>
      </c>
      <c r="B54" s="69">
        <f>Stammdaten!B54</f>
        <v/>
      </c>
      <c r="C54" s="69">
        <f>Stammdaten!C54</f>
        <v/>
      </c>
      <c r="D54" s="70" t="n">
        <v>3813.53</v>
      </c>
      <c r="E54" s="70" t="n">
        <v>3719.87</v>
      </c>
      <c r="F54" s="70" t="n">
        <v>3659.95</v>
      </c>
      <c r="G54" s="70" t="n">
        <v>3759.41</v>
      </c>
      <c r="H54" s="70" t="n">
        <v>3915.51</v>
      </c>
      <c r="I54" s="70" t="n">
        <v>3761.48</v>
      </c>
      <c r="J54" s="70" t="n">
        <v>3126.5</v>
      </c>
      <c r="K54" s="70" t="n">
        <v>3833.15</v>
      </c>
      <c r="L54" s="70" t="n">
        <v>3706.94</v>
      </c>
      <c r="M54" s="70" t="n">
        <v>3941.95</v>
      </c>
      <c r="N54" s="70" t="n">
        <v>3942.62</v>
      </c>
      <c r="O54" s="70" t="n">
        <v>3391.33</v>
      </c>
      <c r="P54" s="28">
        <f>SUM(D54:O54)</f>
        <v/>
      </c>
    </row>
    <row r="55">
      <c r="A55" s="68">
        <f>Stammdaten!A55</f>
        <v/>
      </c>
      <c r="B55" s="69">
        <f>Stammdaten!B55</f>
        <v/>
      </c>
      <c r="C55" s="69">
        <f>Stammdaten!C55</f>
        <v/>
      </c>
      <c r="D55" s="70" t="n">
        <v>6154.22</v>
      </c>
      <c r="E55" s="70" t="n">
        <v>5902.84</v>
      </c>
      <c r="F55" s="70" t="n">
        <v>5926.51</v>
      </c>
      <c r="G55" s="70" t="n">
        <v>6124.42</v>
      </c>
      <c r="H55" s="70" t="n">
        <v>5967.96</v>
      </c>
      <c r="I55" s="70" t="n">
        <v>6025.53</v>
      </c>
      <c r="J55" s="70" t="n">
        <v>5793.93</v>
      </c>
      <c r="K55" s="70" t="n">
        <v>5883.25</v>
      </c>
      <c r="L55" s="70" t="n">
        <v>5798.05</v>
      </c>
      <c r="M55" s="70" t="n">
        <v>6174.5</v>
      </c>
      <c r="N55" s="70" t="n">
        <v>6072.78</v>
      </c>
      <c r="O55" s="70" t="n">
        <v>5555.74</v>
      </c>
      <c r="P55" s="28">
        <f>SUM(D55:O55)</f>
        <v/>
      </c>
    </row>
    <row r="56">
      <c r="A56" s="68">
        <f>Stammdaten!A56</f>
        <v/>
      </c>
      <c r="B56" s="69">
        <f>Stammdaten!B56</f>
        <v/>
      </c>
      <c r="C56" s="69">
        <f>Stammdaten!C56</f>
        <v/>
      </c>
      <c r="D56" s="70" t="n">
        <v>4377.5</v>
      </c>
      <c r="E56" s="70" t="n">
        <v>4294.35</v>
      </c>
      <c r="F56" s="70" t="n">
        <v>4353.3</v>
      </c>
      <c r="G56" s="70" t="n">
        <v>4451.24</v>
      </c>
      <c r="H56" s="70" t="n">
        <v>4448.58</v>
      </c>
      <c r="I56" s="70" t="n">
        <v>4217.24</v>
      </c>
      <c r="J56" s="70" t="n">
        <v>3932.83</v>
      </c>
      <c r="K56" s="70" t="n">
        <v>4536.17</v>
      </c>
      <c r="L56" s="70" t="n">
        <v>4490.06</v>
      </c>
      <c r="M56" s="70" t="n">
        <v>4481.84</v>
      </c>
      <c r="N56" s="70" t="n">
        <v>4165.11</v>
      </c>
      <c r="O56" s="70" t="n">
        <v>3877.82</v>
      </c>
      <c r="P56" s="28">
        <f>SUM(D56:O56)</f>
        <v/>
      </c>
    </row>
    <row r="57">
      <c r="A57" s="68">
        <f>Stammdaten!A57</f>
        <v/>
      </c>
      <c r="B57" s="69">
        <f>Stammdaten!B57</f>
        <v/>
      </c>
      <c r="C57" s="69">
        <f>Stammdaten!C57</f>
        <v/>
      </c>
      <c r="D57" s="70" t="n">
        <v>4374.7</v>
      </c>
      <c r="E57" s="70" t="n">
        <v>4481.13</v>
      </c>
      <c r="F57" s="70" t="n">
        <v>4133.99</v>
      </c>
      <c r="G57" s="70" t="n">
        <v>4287.09</v>
      </c>
      <c r="H57" s="70" t="n">
        <v>4407.39</v>
      </c>
      <c r="I57" s="70" t="n">
        <v>4238.85</v>
      </c>
      <c r="J57" s="70" t="n">
        <v>4009.99</v>
      </c>
      <c r="K57" s="70" t="n">
        <v>4197.28</v>
      </c>
      <c r="L57" s="70" t="n">
        <v>4330.84</v>
      </c>
      <c r="M57" s="70" t="n">
        <v>4367.76</v>
      </c>
      <c r="N57" s="70" t="n">
        <v>4265.07</v>
      </c>
      <c r="O57" s="70" t="n">
        <v>3866.94</v>
      </c>
      <c r="P57" s="28">
        <f>SUM(D57:O57)</f>
        <v/>
      </c>
    </row>
    <row r="58">
      <c r="A58" s="68">
        <f>Stammdaten!A58</f>
        <v/>
      </c>
      <c r="B58" s="69">
        <f>Stammdaten!B58</f>
        <v/>
      </c>
      <c r="C58" s="69">
        <f>Stammdaten!C58</f>
        <v/>
      </c>
      <c r="D58" s="70" t="n">
        <v>4529.43</v>
      </c>
      <c r="E58" s="70" t="n">
        <v>4593.9</v>
      </c>
      <c r="F58" s="70" t="n">
        <v>4215.62</v>
      </c>
      <c r="G58" s="70" t="n">
        <v>4351.76</v>
      </c>
      <c r="H58" s="70" t="n">
        <v>4454.04</v>
      </c>
      <c r="I58" s="70" t="n">
        <v>4235.72</v>
      </c>
      <c r="J58" s="70" t="n">
        <v>4019</v>
      </c>
      <c r="K58" s="70" t="n">
        <v>4586.87</v>
      </c>
      <c r="L58" s="70" t="n">
        <v>4565.32</v>
      </c>
      <c r="M58" s="70" t="n">
        <v>4558.28</v>
      </c>
      <c r="N58" s="70" t="n">
        <v>4426.47</v>
      </c>
      <c r="O58" s="70" t="n">
        <v>4297.94</v>
      </c>
      <c r="P58" s="28">
        <f>SUM(D58:O58)</f>
        <v/>
      </c>
    </row>
    <row r="59">
      <c r="A59" s="71">
        <f>Stammdaten!A59</f>
        <v/>
      </c>
      <c r="B59" s="72">
        <f>Stammdaten!B59</f>
        <v/>
      </c>
      <c r="C59" s="72">
        <f>Stammdaten!C59</f>
        <v/>
      </c>
      <c r="D59" s="70" t="n">
        <v>5532.73</v>
      </c>
      <c r="E59" s="70" t="n">
        <v>5223.71</v>
      </c>
      <c r="F59" s="70" t="n">
        <v>5518.44</v>
      </c>
      <c r="G59" s="70" t="n">
        <v>5570.42</v>
      </c>
      <c r="H59" s="70" t="n">
        <v>5395.11</v>
      </c>
      <c r="I59" s="70" t="n">
        <v>5532.26</v>
      </c>
      <c r="J59" s="70" t="n">
        <v>4856.65</v>
      </c>
      <c r="K59" s="70" t="n">
        <v>5503.94</v>
      </c>
      <c r="L59" s="70" t="n">
        <v>5161.87</v>
      </c>
      <c r="M59" s="70" t="n">
        <v>5290.34</v>
      </c>
      <c r="N59" s="70" t="n">
        <v>5235.71</v>
      </c>
      <c r="O59" s="70" t="n">
        <v>4999.76</v>
      </c>
      <c r="P59" s="28">
        <f>SUM(D59:O59)</f>
        <v/>
      </c>
    </row>
    <row r="60">
      <c r="A60" s="71">
        <f>Stammdaten!A60</f>
        <v/>
      </c>
      <c r="B60" s="72">
        <f>Stammdaten!B60</f>
        <v/>
      </c>
      <c r="C60" s="72">
        <f>Stammdaten!C60</f>
        <v/>
      </c>
      <c r="D60" s="70" t="n">
        <v>6905.04</v>
      </c>
      <c r="E60" s="70" t="n">
        <v>6570.1</v>
      </c>
      <c r="F60" s="70" t="n">
        <v>6658.92</v>
      </c>
      <c r="G60" s="70" t="n">
        <v>6785.84</v>
      </c>
      <c r="H60" s="70" t="n">
        <v>6898.18</v>
      </c>
      <c r="I60" s="70" t="n">
        <v>6581.15</v>
      </c>
      <c r="J60" s="70" t="n">
        <v>5876.65</v>
      </c>
      <c r="K60" s="70" t="n">
        <v>6525.56</v>
      </c>
      <c r="L60" s="70" t="n">
        <v>6650.04</v>
      </c>
      <c r="M60" s="70" t="n">
        <v>7001.18</v>
      </c>
      <c r="N60" s="70" t="n">
        <v>6891.65</v>
      </c>
      <c r="O60" s="70" t="n">
        <v>5758.67</v>
      </c>
      <c r="P60" s="28">
        <f>SUM(D60:O60)</f>
        <v/>
      </c>
    </row>
    <row r="61">
      <c r="A61" s="71">
        <f>Stammdaten!A61</f>
        <v/>
      </c>
      <c r="B61" s="72">
        <f>Stammdaten!B61</f>
        <v/>
      </c>
      <c r="C61" s="72">
        <f>Stammdaten!C61</f>
        <v/>
      </c>
      <c r="D61" s="70" t="n">
        <v>5291.58</v>
      </c>
      <c r="E61" s="70" t="n">
        <v>5400.15</v>
      </c>
      <c r="F61" s="70" t="n">
        <v>5036.04</v>
      </c>
      <c r="G61" s="70" t="n">
        <v>5397.66</v>
      </c>
      <c r="H61" s="70" t="n">
        <v>5294.09</v>
      </c>
      <c r="I61" s="70" t="n">
        <v>5144.69</v>
      </c>
      <c r="J61" s="70" t="n">
        <v>4763.88</v>
      </c>
      <c r="K61" s="70" t="n">
        <v>5156.79</v>
      </c>
      <c r="L61" s="70" t="n">
        <v>5109.07</v>
      </c>
      <c r="M61" s="70" t="n">
        <v>5171.58</v>
      </c>
      <c r="N61" s="70" t="n">
        <v>5200.52</v>
      </c>
      <c r="O61" s="70" t="n">
        <v>4929.81</v>
      </c>
      <c r="P61" s="28">
        <f>SUM(D61:O61)</f>
        <v/>
      </c>
    </row>
    <row r="62">
      <c r="A62" s="71">
        <f>Stammdaten!A62</f>
        <v/>
      </c>
      <c r="B62" s="72">
        <f>Stammdaten!B62</f>
        <v/>
      </c>
      <c r="C62" s="72">
        <f>Stammdaten!C62</f>
        <v/>
      </c>
      <c r="D62" s="70" t="n">
        <v>5042.93</v>
      </c>
      <c r="E62" s="70" t="n">
        <v>5035.73</v>
      </c>
      <c r="F62" s="70" t="n">
        <v>5063.23</v>
      </c>
      <c r="G62" s="70" t="n">
        <v>5237.97</v>
      </c>
      <c r="H62" s="70" t="n">
        <v>5133.51</v>
      </c>
      <c r="I62" s="70" t="n">
        <v>5137.53</v>
      </c>
      <c r="J62" s="70" t="n">
        <v>4486.16</v>
      </c>
      <c r="K62" s="70" t="n">
        <v>5008.03</v>
      </c>
      <c r="L62" s="70" t="n">
        <v>5151.07</v>
      </c>
      <c r="M62" s="70" t="n">
        <v>5219.03</v>
      </c>
      <c r="N62" s="70" t="n">
        <v>4990.33</v>
      </c>
      <c r="O62" s="70" t="n">
        <v>4725.93</v>
      </c>
      <c r="P62" s="28">
        <f>SUM(D62:O62)</f>
        <v/>
      </c>
    </row>
    <row r="63">
      <c r="A63" s="71">
        <f>Stammdaten!A63</f>
        <v/>
      </c>
      <c r="B63" s="72">
        <f>Stammdaten!B63</f>
        <v/>
      </c>
      <c r="C63" s="72">
        <f>Stammdaten!C63</f>
        <v/>
      </c>
      <c r="D63" s="70" t="n">
        <v>6536.05</v>
      </c>
      <c r="E63" s="70" t="n">
        <v>7095.96</v>
      </c>
      <c r="F63" s="70" t="n">
        <v>7007.15</v>
      </c>
      <c r="G63" s="70" t="n">
        <v>6561.87</v>
      </c>
      <c r="H63" s="70" t="n">
        <v>7005.54</v>
      </c>
      <c r="I63" s="70" t="n">
        <v>6604.67</v>
      </c>
      <c r="J63" s="70" t="n">
        <v>5822.28</v>
      </c>
      <c r="K63" s="70" t="n">
        <v>6750.02</v>
      </c>
      <c r="L63" s="70" t="n">
        <v>6885.06</v>
      </c>
      <c r="M63" s="70" t="n">
        <v>6846.21</v>
      </c>
      <c r="N63" s="70" t="n">
        <v>7051.13</v>
      </c>
      <c r="O63" s="70" t="n">
        <v>6076.16</v>
      </c>
      <c r="P63" s="28">
        <f>SUM(D63:O63)</f>
        <v/>
      </c>
    </row>
    <row r="64">
      <c r="A64" s="71">
        <f>Stammdaten!A64</f>
        <v/>
      </c>
      <c r="B64" s="72">
        <f>Stammdaten!B64</f>
        <v/>
      </c>
      <c r="C64" s="72">
        <f>Stammdaten!C64</f>
        <v/>
      </c>
      <c r="D64" s="70" t="n">
        <v>6012.4</v>
      </c>
      <c r="E64" s="70" t="n">
        <v>6322.24</v>
      </c>
      <c r="F64" s="70" t="n">
        <v>6293.21</v>
      </c>
      <c r="G64" s="70" t="n">
        <v>6311.27</v>
      </c>
      <c r="H64" s="70" t="n">
        <v>6490.8</v>
      </c>
      <c r="I64" s="70" t="n">
        <v>6395.63</v>
      </c>
      <c r="J64" s="70" t="n">
        <v>5235.84</v>
      </c>
      <c r="K64" s="70" t="n">
        <v>6262.7</v>
      </c>
      <c r="L64" s="70" t="n">
        <v>6074.7</v>
      </c>
      <c r="M64" s="70" t="n">
        <v>6209.74</v>
      </c>
      <c r="N64" s="70" t="n">
        <v>6336.6</v>
      </c>
      <c r="O64" s="70" t="n">
        <v>6032.4</v>
      </c>
      <c r="P64" s="28">
        <f>SUM(D64:O64)</f>
        <v/>
      </c>
    </row>
    <row r="65">
      <c r="A65" s="71">
        <f>Stammdaten!A65</f>
        <v/>
      </c>
      <c r="B65" s="72">
        <f>Stammdaten!B65</f>
        <v/>
      </c>
      <c r="C65" s="72">
        <f>Stammdaten!C65</f>
        <v/>
      </c>
      <c r="D65" s="70" t="n">
        <v>6714.07</v>
      </c>
      <c r="E65" s="70" t="n">
        <v>6486.03</v>
      </c>
      <c r="F65" s="70" t="n">
        <v>6590.92</v>
      </c>
      <c r="G65" s="70" t="n">
        <v>6341.43</v>
      </c>
      <c r="H65" s="70" t="n">
        <v>6550.47</v>
      </c>
      <c r="I65" s="70" t="n">
        <v>6310.25</v>
      </c>
      <c r="J65" s="70" t="n">
        <v>5530.71</v>
      </c>
      <c r="K65" s="70" t="n">
        <v>6755.25</v>
      </c>
      <c r="L65" s="70" t="n">
        <v>6720.16</v>
      </c>
      <c r="M65" s="70" t="n">
        <v>6609.06</v>
      </c>
      <c r="N65" s="70" t="n">
        <v>6535.1</v>
      </c>
      <c r="O65" s="70" t="n">
        <v>6293.77</v>
      </c>
      <c r="P65" s="28">
        <f>SUM(D65:O65)</f>
        <v/>
      </c>
    </row>
    <row r="66">
      <c r="A66" s="71">
        <f>Stammdaten!A66</f>
        <v/>
      </c>
      <c r="B66" s="72">
        <f>Stammdaten!B66</f>
        <v/>
      </c>
      <c r="C66" s="72">
        <f>Stammdaten!C66</f>
        <v/>
      </c>
      <c r="D66" s="70" t="n">
        <v>5928.55</v>
      </c>
      <c r="E66" s="70" t="n">
        <v>5695.74</v>
      </c>
      <c r="F66" s="70" t="n">
        <v>5585.51</v>
      </c>
      <c r="G66" s="70" t="n">
        <v>5836.49</v>
      </c>
      <c r="H66" s="70" t="n">
        <v>5771.61</v>
      </c>
      <c r="I66" s="70" t="n">
        <v>5750.84</v>
      </c>
      <c r="J66" s="70" t="n">
        <v>4834.55</v>
      </c>
      <c r="K66" s="70" t="n">
        <v>5726.5</v>
      </c>
      <c r="L66" s="70" t="n">
        <v>5636.12</v>
      </c>
      <c r="M66" s="70" t="n">
        <v>5676.74</v>
      </c>
      <c r="N66" s="70" t="n">
        <v>5655.93</v>
      </c>
      <c r="O66" s="70" t="n">
        <v>5068.37</v>
      </c>
      <c r="P66" s="28">
        <f>SUM(D66:O66)</f>
        <v/>
      </c>
    </row>
    <row r="67">
      <c r="A67" s="71">
        <f>Stammdaten!A67</f>
        <v/>
      </c>
      <c r="B67" s="72">
        <f>Stammdaten!B67</f>
        <v/>
      </c>
      <c r="C67" s="72">
        <f>Stammdaten!C67</f>
        <v/>
      </c>
      <c r="D67" s="70" t="n">
        <v>6462.53</v>
      </c>
      <c r="E67" s="70" t="n">
        <v>6347.03</v>
      </c>
      <c r="F67" s="70" t="n">
        <v>6361.39</v>
      </c>
      <c r="G67" s="70" t="n">
        <v>6629.24</v>
      </c>
      <c r="H67" s="70" t="n">
        <v>6527.19</v>
      </c>
      <c r="I67" s="70" t="n">
        <v>6594.48</v>
      </c>
      <c r="J67" s="70" t="n">
        <v>6135.69</v>
      </c>
      <c r="K67" s="70" t="n">
        <v>6448.2</v>
      </c>
      <c r="L67" s="70" t="n">
        <v>6773.77</v>
      </c>
      <c r="M67" s="70" t="n">
        <v>6787.62</v>
      </c>
      <c r="N67" s="70" t="n">
        <v>6563.42</v>
      </c>
      <c r="O67" s="70" t="n">
        <v>5921.91</v>
      </c>
      <c r="P67" s="28">
        <f>SUM(D67:O67)</f>
        <v/>
      </c>
    </row>
    <row r="68">
      <c r="A68" s="71">
        <f>Stammdaten!A68</f>
        <v/>
      </c>
      <c r="B68" s="72">
        <f>Stammdaten!B68</f>
        <v/>
      </c>
      <c r="C68" s="72">
        <f>Stammdaten!C68</f>
        <v/>
      </c>
      <c r="D68" s="70" t="n">
        <v>4908.97</v>
      </c>
      <c r="E68" s="70" t="n">
        <v>4962.67</v>
      </c>
      <c r="F68" s="70" t="n">
        <v>4810.3</v>
      </c>
      <c r="G68" s="70" t="n">
        <v>4812.2</v>
      </c>
      <c r="H68" s="70" t="n">
        <v>5057.82</v>
      </c>
      <c r="I68" s="70" t="n">
        <v>5054.2</v>
      </c>
      <c r="J68" s="70" t="n">
        <v>4525.41</v>
      </c>
      <c r="K68" s="70" t="n">
        <v>4952.82</v>
      </c>
      <c r="L68" s="70" t="n">
        <v>4952.35</v>
      </c>
      <c r="M68" s="70" t="n">
        <v>5048.65</v>
      </c>
      <c r="N68" s="70" t="n">
        <v>4809.42</v>
      </c>
      <c r="O68" s="70" t="n">
        <v>4693.16</v>
      </c>
      <c r="P68" s="28">
        <f>SUM(D68:O68)</f>
        <v/>
      </c>
    </row>
    <row r="69">
      <c r="A69" s="68">
        <f>Stammdaten!A69</f>
        <v/>
      </c>
      <c r="B69" s="69">
        <f>Stammdaten!B69</f>
        <v/>
      </c>
      <c r="C69" s="69">
        <f>Stammdaten!C69</f>
        <v/>
      </c>
      <c r="D69" s="70" t="n">
        <v>6640</v>
      </c>
      <c r="E69" s="70" t="n">
        <v>6641.78</v>
      </c>
      <c r="F69" s="70" t="n">
        <v>6611.02</v>
      </c>
      <c r="G69" s="70" t="n">
        <v>6568.24</v>
      </c>
      <c r="H69" s="70" t="n">
        <v>6639.33</v>
      </c>
      <c r="I69" s="70" t="n">
        <v>6390.02</v>
      </c>
      <c r="J69" s="70" t="n">
        <v>6242.9</v>
      </c>
      <c r="K69" s="70" t="n">
        <v>6471.75</v>
      </c>
      <c r="L69" s="70" t="n">
        <v>6487.17</v>
      </c>
      <c r="M69" s="70" t="n">
        <v>6707.27</v>
      </c>
      <c r="N69" s="70" t="n">
        <v>6473.28</v>
      </c>
      <c r="O69" s="70" t="n">
        <v>6073.81</v>
      </c>
      <c r="P69" s="28">
        <f>SUM(D69:O69)</f>
        <v/>
      </c>
    </row>
    <row r="70">
      <c r="A70" s="68">
        <f>Stammdaten!A70</f>
        <v/>
      </c>
      <c r="B70" s="69">
        <f>Stammdaten!B70</f>
        <v/>
      </c>
      <c r="C70" s="69">
        <f>Stammdaten!C70</f>
        <v/>
      </c>
      <c r="D70" s="70" t="n">
        <v>3894.05</v>
      </c>
      <c r="E70" s="70" t="n">
        <v>4110.65</v>
      </c>
      <c r="F70" s="70" t="n">
        <v>3920.7</v>
      </c>
      <c r="G70" s="70" t="n">
        <v>3989.47</v>
      </c>
      <c r="H70" s="70" t="n">
        <v>4178.78</v>
      </c>
      <c r="I70" s="70" t="n">
        <v>3924.14</v>
      </c>
      <c r="J70" s="70" t="n">
        <v>3709.43</v>
      </c>
      <c r="K70" s="70" t="n">
        <v>4161.01</v>
      </c>
      <c r="L70" s="70" t="n">
        <v>4018.78</v>
      </c>
      <c r="M70" s="70" t="n">
        <v>4124.74</v>
      </c>
      <c r="N70" s="70" t="n">
        <v>4037.61</v>
      </c>
      <c r="O70" s="70" t="n">
        <v>3852.25</v>
      </c>
      <c r="P70" s="28">
        <f>SUM(D70:O70)</f>
        <v/>
      </c>
    </row>
    <row r="71">
      <c r="A71" s="68">
        <f>Stammdaten!A71</f>
        <v/>
      </c>
      <c r="B71" s="69">
        <f>Stammdaten!B71</f>
        <v/>
      </c>
      <c r="C71" s="69">
        <f>Stammdaten!C71</f>
        <v/>
      </c>
      <c r="D71" s="70" t="n">
        <v>3986.76</v>
      </c>
      <c r="E71" s="70" t="n">
        <v>4021.27</v>
      </c>
      <c r="F71" s="70" t="n">
        <v>4081.77</v>
      </c>
      <c r="G71" s="70" t="n">
        <v>3915.69</v>
      </c>
      <c r="H71" s="70" t="n">
        <v>3841.62</v>
      </c>
      <c r="I71" s="70" t="n">
        <v>3787.95</v>
      </c>
      <c r="J71" s="70" t="n">
        <v>3831.12</v>
      </c>
      <c r="K71" s="70" t="n">
        <v>3758.25</v>
      </c>
      <c r="L71" s="70" t="n">
        <v>4035.67</v>
      </c>
      <c r="M71" s="70" t="n">
        <v>4068.2</v>
      </c>
      <c r="N71" s="70" t="n">
        <v>3902.29</v>
      </c>
      <c r="O71" s="70" t="n">
        <v>3687.77</v>
      </c>
      <c r="P71" s="28">
        <f>SUM(D71:O71)</f>
        <v/>
      </c>
    </row>
    <row r="72">
      <c r="A72" s="68">
        <f>Stammdaten!A72</f>
        <v/>
      </c>
      <c r="B72" s="69">
        <f>Stammdaten!B72</f>
        <v/>
      </c>
      <c r="C72" s="69">
        <f>Stammdaten!C72</f>
        <v/>
      </c>
      <c r="D72" s="70" t="n">
        <v>6672.68</v>
      </c>
      <c r="E72" s="70" t="n">
        <v>6374.31</v>
      </c>
      <c r="F72" s="70" t="n">
        <v>6550.08</v>
      </c>
      <c r="G72" s="70" t="n">
        <v>6195.89</v>
      </c>
      <c r="H72" s="70" t="n">
        <v>6585.62</v>
      </c>
      <c r="I72" s="70" t="n">
        <v>6414.08</v>
      </c>
      <c r="J72" s="70" t="n">
        <v>5417.77</v>
      </c>
      <c r="K72" s="70" t="n">
        <v>6509.14</v>
      </c>
      <c r="L72" s="70" t="n">
        <v>6423.23</v>
      </c>
      <c r="M72" s="70" t="n">
        <v>6364.56</v>
      </c>
      <c r="N72" s="70" t="n">
        <v>6663.28</v>
      </c>
      <c r="O72" s="70" t="n">
        <v>5714.6</v>
      </c>
      <c r="P72" s="28">
        <f>SUM(D72:O72)</f>
        <v/>
      </c>
    </row>
    <row r="73">
      <c r="A73" s="68">
        <f>Stammdaten!A73</f>
        <v/>
      </c>
      <c r="B73" s="69">
        <f>Stammdaten!B73</f>
        <v/>
      </c>
      <c r="C73" s="69">
        <f>Stammdaten!C73</f>
        <v/>
      </c>
      <c r="D73" s="70" t="n">
        <v>6098.32</v>
      </c>
      <c r="E73" s="70" t="n">
        <v>6384.23</v>
      </c>
      <c r="F73" s="70" t="n">
        <v>6288.69</v>
      </c>
      <c r="G73" s="70" t="n">
        <v>5969.94</v>
      </c>
      <c r="H73" s="70" t="n">
        <v>6271.31</v>
      </c>
      <c r="I73" s="70" t="n">
        <v>6127.2</v>
      </c>
      <c r="J73" s="70" t="n">
        <v>6055.52</v>
      </c>
      <c r="K73" s="70" t="n">
        <v>6177.92</v>
      </c>
      <c r="L73" s="70" t="n">
        <v>6430.51</v>
      </c>
      <c r="M73" s="70" t="n">
        <v>6000.39</v>
      </c>
      <c r="N73" s="70" t="n">
        <v>6127.39</v>
      </c>
      <c r="O73" s="70" t="n">
        <v>5735.43</v>
      </c>
      <c r="P73" s="28">
        <f>SUM(D73:O73)</f>
        <v/>
      </c>
    </row>
    <row r="74">
      <c r="A74" s="68">
        <f>Stammdaten!A74</f>
        <v/>
      </c>
      <c r="B74" s="69">
        <f>Stammdaten!B74</f>
        <v/>
      </c>
      <c r="C74" s="69">
        <f>Stammdaten!C74</f>
        <v/>
      </c>
      <c r="D74" s="70" t="n">
        <v>4331.05</v>
      </c>
      <c r="E74" s="70" t="n">
        <v>4228.98</v>
      </c>
      <c r="F74" s="70" t="n">
        <v>4564.73</v>
      </c>
      <c r="G74" s="70" t="n">
        <v>4458.39</v>
      </c>
      <c r="H74" s="70" t="n">
        <v>4373.3</v>
      </c>
      <c r="I74" s="70" t="n">
        <v>4528.34</v>
      </c>
      <c r="J74" s="70" t="n">
        <v>3840.87</v>
      </c>
      <c r="K74" s="70" t="n">
        <v>4470.71</v>
      </c>
      <c r="L74" s="70" t="n">
        <v>4569.83</v>
      </c>
      <c r="M74" s="70" t="n">
        <v>4361.17</v>
      </c>
      <c r="N74" s="70" t="n">
        <v>4371.35</v>
      </c>
      <c r="O74" s="70" t="n">
        <v>3993.23</v>
      </c>
      <c r="P74" s="28">
        <f>SUM(D74:O74)</f>
        <v/>
      </c>
    </row>
    <row r="75">
      <c r="A75" s="68">
        <f>Stammdaten!A75</f>
        <v/>
      </c>
      <c r="B75" s="69">
        <f>Stammdaten!B75</f>
        <v/>
      </c>
      <c r="C75" s="69">
        <f>Stammdaten!C75</f>
        <v/>
      </c>
      <c r="D75" s="70" t="n">
        <v>5172.94</v>
      </c>
      <c r="E75" s="70" t="n">
        <v>5002.12</v>
      </c>
      <c r="F75" s="70" t="n">
        <v>5339.02</v>
      </c>
      <c r="G75" s="70" t="n">
        <v>5034.64</v>
      </c>
      <c r="H75" s="70" t="n">
        <v>5255.56</v>
      </c>
      <c r="I75" s="70" t="n">
        <v>5087.86</v>
      </c>
      <c r="J75" s="70" t="n">
        <v>4548.03</v>
      </c>
      <c r="K75" s="70" t="n">
        <v>4939.28</v>
      </c>
      <c r="L75" s="70" t="n">
        <v>5350.8</v>
      </c>
      <c r="M75" s="70" t="n">
        <v>5053.15</v>
      </c>
      <c r="N75" s="70" t="n">
        <v>5253.77</v>
      </c>
      <c r="O75" s="70" t="n">
        <v>4678.1</v>
      </c>
      <c r="P75" s="28">
        <f>SUM(D75:O75)</f>
        <v/>
      </c>
    </row>
    <row r="76">
      <c r="A76" s="68">
        <f>Stammdaten!A76</f>
        <v/>
      </c>
      <c r="B76" s="69">
        <f>Stammdaten!B76</f>
        <v/>
      </c>
      <c r="C76" s="69">
        <f>Stammdaten!C76</f>
        <v/>
      </c>
      <c r="D76" s="70" t="n">
        <v>6938.4</v>
      </c>
      <c r="E76" s="70" t="n">
        <v>6751.44</v>
      </c>
      <c r="F76" s="70" t="n">
        <v>6783.64</v>
      </c>
      <c r="G76" s="70" t="n">
        <v>6490.07</v>
      </c>
      <c r="H76" s="70" t="n">
        <v>6467.06</v>
      </c>
      <c r="I76" s="70" t="n">
        <v>6682.08</v>
      </c>
      <c r="J76" s="70" t="n">
        <v>6272.53</v>
      </c>
      <c r="K76" s="70" t="n">
        <v>6607.53</v>
      </c>
      <c r="L76" s="70" t="n">
        <v>6907.77</v>
      </c>
      <c r="M76" s="70" t="n">
        <v>6455.6</v>
      </c>
      <c r="N76" s="70" t="n">
        <v>6585.46</v>
      </c>
      <c r="O76" s="70" t="n">
        <v>5972.25</v>
      </c>
      <c r="P76" s="28">
        <f>SUM(D76:O76)</f>
        <v/>
      </c>
    </row>
    <row r="77">
      <c r="A77" s="68">
        <f>Stammdaten!A77</f>
        <v/>
      </c>
      <c r="B77" s="69">
        <f>Stammdaten!B77</f>
        <v/>
      </c>
      <c r="C77" s="69">
        <f>Stammdaten!C77</f>
        <v/>
      </c>
      <c r="D77" s="70" t="n">
        <v>5411.76</v>
      </c>
      <c r="E77" s="70" t="n">
        <v>5468.01</v>
      </c>
      <c r="F77" s="70" t="n">
        <v>5774.1</v>
      </c>
      <c r="G77" s="70" t="n">
        <v>5724.03</v>
      </c>
      <c r="H77" s="70" t="n">
        <v>5757.67</v>
      </c>
      <c r="I77" s="70" t="n">
        <v>5817.19</v>
      </c>
      <c r="J77" s="70" t="n">
        <v>4763.09</v>
      </c>
      <c r="K77" s="70" t="n">
        <v>5474.11</v>
      </c>
      <c r="L77" s="70" t="n">
        <v>5401.63</v>
      </c>
      <c r="M77" s="70" t="n">
        <v>5744.17</v>
      </c>
      <c r="N77" s="70" t="n">
        <v>5497.1</v>
      </c>
      <c r="O77" s="70" t="n">
        <v>5322.91</v>
      </c>
      <c r="P77" s="28">
        <f>SUM(D77:O77)</f>
        <v/>
      </c>
    </row>
    <row r="78">
      <c r="A78" s="68">
        <f>Stammdaten!A78</f>
        <v/>
      </c>
      <c r="B78" s="69">
        <f>Stammdaten!B78</f>
        <v/>
      </c>
      <c r="C78" s="69">
        <f>Stammdaten!C78</f>
        <v/>
      </c>
      <c r="D78" s="70" t="n">
        <v>5237.49</v>
      </c>
      <c r="E78" s="70" t="n">
        <v>5463.77</v>
      </c>
      <c r="F78" s="70" t="n">
        <v>5407.65</v>
      </c>
      <c r="G78" s="70" t="n">
        <v>5634.9</v>
      </c>
      <c r="H78" s="70" t="n">
        <v>5363.57</v>
      </c>
      <c r="I78" s="70" t="n">
        <v>5434.93</v>
      </c>
      <c r="J78" s="70" t="n">
        <v>4951.59</v>
      </c>
      <c r="K78" s="70" t="n">
        <v>5330.29</v>
      </c>
      <c r="L78" s="70" t="n">
        <v>5686.61</v>
      </c>
      <c r="M78" s="70" t="n">
        <v>5590.86</v>
      </c>
      <c r="N78" s="70" t="n">
        <v>5478.81</v>
      </c>
      <c r="O78" s="70" t="n">
        <v>4919.63</v>
      </c>
      <c r="P78" s="28">
        <f>SUM(D78:O78)</f>
        <v/>
      </c>
    </row>
    <row r="79">
      <c r="A79" s="71">
        <f>Stammdaten!A79</f>
        <v/>
      </c>
      <c r="B79" s="72">
        <f>Stammdaten!B79</f>
        <v/>
      </c>
      <c r="C79" s="72">
        <f>Stammdaten!C79</f>
        <v/>
      </c>
      <c r="D79" s="70" t="n">
        <v>5124.23</v>
      </c>
      <c r="E79" s="70" t="n">
        <v>5483.89</v>
      </c>
      <c r="F79" s="70" t="n">
        <v>5473.88</v>
      </c>
      <c r="G79" s="70" t="n">
        <v>5218.11</v>
      </c>
      <c r="H79" s="70" t="n">
        <v>5321.12</v>
      </c>
      <c r="I79" s="70" t="n">
        <v>5586.42</v>
      </c>
      <c r="J79" s="70" t="n">
        <v>4542.21</v>
      </c>
      <c r="K79" s="70" t="n">
        <v>5525.44</v>
      </c>
      <c r="L79" s="70" t="n">
        <v>5549.47</v>
      </c>
      <c r="M79" s="70" t="n">
        <v>5478.59</v>
      </c>
      <c r="N79" s="70" t="n">
        <v>5362.21</v>
      </c>
      <c r="O79" s="70" t="n">
        <v>4848.87</v>
      </c>
      <c r="P79" s="28">
        <f>SUM(D79:O79)</f>
        <v/>
      </c>
    </row>
    <row r="80">
      <c r="A80" s="71">
        <f>Stammdaten!A80</f>
        <v/>
      </c>
      <c r="B80" s="72">
        <f>Stammdaten!B80</f>
        <v/>
      </c>
      <c r="C80" s="72">
        <f>Stammdaten!C80</f>
        <v/>
      </c>
      <c r="D80" s="70" t="n">
        <v>5929.06</v>
      </c>
      <c r="E80" s="70" t="n">
        <v>5693.31</v>
      </c>
      <c r="F80" s="70" t="n">
        <v>5658.98</v>
      </c>
      <c r="G80" s="70" t="n">
        <v>5611.29</v>
      </c>
      <c r="H80" s="70" t="n">
        <v>5561.1</v>
      </c>
      <c r="I80" s="70" t="n">
        <v>5547.13</v>
      </c>
      <c r="J80" s="70" t="n">
        <v>5109.74</v>
      </c>
      <c r="K80" s="70" t="n">
        <v>5675.47</v>
      </c>
      <c r="L80" s="70" t="n">
        <v>5723.67</v>
      </c>
      <c r="M80" s="70" t="n">
        <v>5929.87</v>
      </c>
      <c r="N80" s="70" t="n">
        <v>5906.77</v>
      </c>
      <c r="O80" s="70" t="n">
        <v>5421.97</v>
      </c>
      <c r="P80" s="28">
        <f>SUM(D80:O80)</f>
        <v/>
      </c>
    </row>
    <row r="81">
      <c r="A81" s="71">
        <f>Stammdaten!A81</f>
        <v/>
      </c>
      <c r="B81" s="72">
        <f>Stammdaten!B81</f>
        <v/>
      </c>
      <c r="C81" s="72">
        <f>Stammdaten!C81</f>
        <v/>
      </c>
      <c r="D81" s="70" t="n">
        <v>6640.05</v>
      </c>
      <c r="E81" s="70" t="n">
        <v>6115.33</v>
      </c>
      <c r="F81" s="70" t="n">
        <v>6555.41</v>
      </c>
      <c r="G81" s="70" t="n">
        <v>6630.75</v>
      </c>
      <c r="H81" s="70" t="n">
        <v>6404.67</v>
      </c>
      <c r="I81" s="70" t="n">
        <v>6141.45</v>
      </c>
      <c r="J81" s="70" t="n">
        <v>5819.67</v>
      </c>
      <c r="K81" s="70" t="n">
        <v>6533.08</v>
      </c>
      <c r="L81" s="70" t="n">
        <v>6200.47</v>
      </c>
      <c r="M81" s="70" t="n">
        <v>6479.05</v>
      </c>
      <c r="N81" s="70" t="n">
        <v>6135.35</v>
      </c>
      <c r="O81" s="70" t="n">
        <v>5885.54</v>
      </c>
      <c r="P81" s="28">
        <f>SUM(D81:O81)</f>
        <v/>
      </c>
    </row>
    <row r="82">
      <c r="A82" s="71">
        <f>Stammdaten!A82</f>
        <v/>
      </c>
      <c r="B82" s="72">
        <f>Stammdaten!B82</f>
        <v/>
      </c>
      <c r="C82" s="72">
        <f>Stammdaten!C82</f>
        <v/>
      </c>
      <c r="D82" s="70" t="n">
        <v>4098.53</v>
      </c>
      <c r="E82" s="70" t="n">
        <v>4371.64</v>
      </c>
      <c r="F82" s="70" t="n">
        <v>4422.45</v>
      </c>
      <c r="G82" s="70" t="n">
        <v>4415.54</v>
      </c>
      <c r="H82" s="70" t="n">
        <v>4339.46</v>
      </c>
      <c r="I82" s="70" t="n">
        <v>4209.29</v>
      </c>
      <c r="J82" s="70" t="n">
        <v>3935.37</v>
      </c>
      <c r="K82" s="70" t="n">
        <v>4233.4</v>
      </c>
      <c r="L82" s="70" t="n">
        <v>4297.43</v>
      </c>
      <c r="M82" s="70" t="n">
        <v>4310.07</v>
      </c>
      <c r="N82" s="70" t="n">
        <v>4399.79</v>
      </c>
      <c r="O82" s="70" t="n">
        <v>3622.3</v>
      </c>
      <c r="P82" s="28">
        <f>SUM(D82:O82)</f>
        <v/>
      </c>
    </row>
    <row r="83">
      <c r="A83" s="71">
        <f>Stammdaten!A83</f>
        <v/>
      </c>
      <c r="B83" s="72">
        <f>Stammdaten!B83</f>
        <v/>
      </c>
      <c r="C83" s="72">
        <f>Stammdaten!C83</f>
        <v/>
      </c>
      <c r="D83" s="70" t="n">
        <v>5936.3</v>
      </c>
      <c r="E83" s="70" t="n">
        <v>5440.17</v>
      </c>
      <c r="F83" s="70" t="n">
        <v>5793.39</v>
      </c>
      <c r="G83" s="70" t="n">
        <v>5828.04</v>
      </c>
      <c r="H83" s="70" t="n">
        <v>5718.19</v>
      </c>
      <c r="I83" s="70" t="n">
        <v>5567.9</v>
      </c>
      <c r="J83" s="70" t="n">
        <v>5018.54</v>
      </c>
      <c r="K83" s="70" t="n">
        <v>5573.25</v>
      </c>
      <c r="L83" s="70" t="n">
        <v>5670.36</v>
      </c>
      <c r="M83" s="70" t="n">
        <v>5727.53</v>
      </c>
      <c r="N83" s="70" t="n">
        <v>5511.49</v>
      </c>
      <c r="O83" s="70" t="n">
        <v>5011.64</v>
      </c>
      <c r="P83" s="28">
        <f>SUM(D83:O83)</f>
        <v/>
      </c>
    </row>
    <row r="84">
      <c r="A84" s="71">
        <f>Stammdaten!A84</f>
        <v/>
      </c>
      <c r="B84" s="72">
        <f>Stammdaten!B84</f>
        <v/>
      </c>
      <c r="C84" s="72">
        <f>Stammdaten!C84</f>
        <v/>
      </c>
      <c r="D84" s="70" t="n">
        <v>6028.98</v>
      </c>
      <c r="E84" s="70" t="n">
        <v>5928.55</v>
      </c>
      <c r="F84" s="70" t="n">
        <v>6251.99</v>
      </c>
      <c r="G84" s="70" t="n">
        <v>5847.1</v>
      </c>
      <c r="H84" s="70" t="n">
        <v>6116.07</v>
      </c>
      <c r="I84" s="70" t="n">
        <v>6037.49</v>
      </c>
      <c r="J84" s="70" t="n">
        <v>5375.22</v>
      </c>
      <c r="K84" s="70" t="n">
        <v>6228.83</v>
      </c>
      <c r="L84" s="70" t="n">
        <v>6154.85</v>
      </c>
      <c r="M84" s="70" t="n">
        <v>6010.98</v>
      </c>
      <c r="N84" s="70" t="n">
        <v>5740.61</v>
      </c>
      <c r="O84" s="70" t="n">
        <v>5285.07</v>
      </c>
      <c r="P84" s="28">
        <f>SUM(D84:O84)</f>
        <v/>
      </c>
    </row>
    <row r="85">
      <c r="A85" s="71">
        <f>Stammdaten!A85</f>
        <v/>
      </c>
      <c r="B85" s="72">
        <f>Stammdaten!B85</f>
        <v/>
      </c>
      <c r="C85" s="72">
        <f>Stammdaten!C85</f>
        <v/>
      </c>
      <c r="D85" s="70" t="n">
        <v>4618.05</v>
      </c>
      <c r="E85" s="70" t="n">
        <v>4811.74</v>
      </c>
      <c r="F85" s="70" t="n">
        <v>4500.07</v>
      </c>
      <c r="G85" s="70" t="n">
        <v>4770.73</v>
      </c>
      <c r="H85" s="70" t="n">
        <v>4521.62</v>
      </c>
      <c r="I85" s="70" t="n">
        <v>4628.17</v>
      </c>
      <c r="J85" s="70" t="n">
        <v>4441.78</v>
      </c>
      <c r="K85" s="70" t="n">
        <v>4616.29</v>
      </c>
      <c r="L85" s="70" t="n">
        <v>4884.5</v>
      </c>
      <c r="M85" s="70" t="n">
        <v>4658.37</v>
      </c>
      <c r="N85" s="70" t="n">
        <v>4679.49</v>
      </c>
      <c r="O85" s="70" t="n">
        <v>4404</v>
      </c>
      <c r="P85" s="28">
        <f>SUM(D85:O85)</f>
        <v/>
      </c>
    </row>
    <row r="86">
      <c r="A86" s="71">
        <f>Stammdaten!A86</f>
        <v/>
      </c>
      <c r="B86" s="72">
        <f>Stammdaten!B86</f>
        <v/>
      </c>
      <c r="C86" s="72">
        <f>Stammdaten!C86</f>
        <v/>
      </c>
      <c r="D86" s="70" t="n">
        <v>5749.15</v>
      </c>
      <c r="E86" s="70" t="n">
        <v>5708.86</v>
      </c>
      <c r="F86" s="70" t="n">
        <v>5430.3</v>
      </c>
      <c r="G86" s="70" t="n">
        <v>5692.84</v>
      </c>
      <c r="H86" s="70" t="n">
        <v>5767.33</v>
      </c>
      <c r="I86" s="70" t="n">
        <v>5625.48</v>
      </c>
      <c r="J86" s="70" t="n">
        <v>5103.8</v>
      </c>
      <c r="K86" s="70" t="n">
        <v>5661.62</v>
      </c>
      <c r="L86" s="70" t="n">
        <v>5589.78</v>
      </c>
      <c r="M86" s="70" t="n">
        <v>5380.28</v>
      </c>
      <c r="N86" s="70" t="n">
        <v>5501.31</v>
      </c>
      <c r="O86" s="70" t="n">
        <v>5554.69</v>
      </c>
      <c r="P86" s="28">
        <f>SUM(D86:O86)</f>
        <v/>
      </c>
    </row>
    <row r="87">
      <c r="A87" s="71">
        <f>Stammdaten!A87</f>
        <v/>
      </c>
      <c r="B87" s="72">
        <f>Stammdaten!B87</f>
        <v/>
      </c>
      <c r="C87" s="72">
        <f>Stammdaten!C87</f>
        <v/>
      </c>
      <c r="D87" s="70" t="n">
        <v>5808.35</v>
      </c>
      <c r="E87" s="70" t="n">
        <v>5883.54</v>
      </c>
      <c r="F87" s="70" t="n">
        <v>6081.09</v>
      </c>
      <c r="G87" s="70" t="n">
        <v>5930.39</v>
      </c>
      <c r="H87" s="70" t="n">
        <v>5785.2</v>
      </c>
      <c r="I87" s="70" t="n">
        <v>6167.26</v>
      </c>
      <c r="J87" s="70" t="n">
        <v>5494.64</v>
      </c>
      <c r="K87" s="70" t="n">
        <v>6005.07</v>
      </c>
      <c r="L87" s="70" t="n">
        <v>5816.84</v>
      </c>
      <c r="M87" s="70" t="n">
        <v>6123.16</v>
      </c>
      <c r="N87" s="70" t="n">
        <v>5707.09</v>
      </c>
      <c r="O87" s="70" t="n">
        <v>5070.95</v>
      </c>
      <c r="P87" s="28">
        <f>SUM(D87:O87)</f>
        <v/>
      </c>
    </row>
    <row r="88">
      <c r="A88" s="71">
        <f>Stammdaten!A88</f>
        <v/>
      </c>
      <c r="B88" s="72">
        <f>Stammdaten!B88</f>
        <v/>
      </c>
      <c r="C88" s="72">
        <f>Stammdaten!C88</f>
        <v/>
      </c>
      <c r="D88" s="70" t="n">
        <v>4312.51</v>
      </c>
      <c r="E88" s="70" t="n">
        <v>4315.19</v>
      </c>
      <c r="F88" s="70" t="n">
        <v>4211.21</v>
      </c>
      <c r="G88" s="70" t="n">
        <v>4192.37</v>
      </c>
      <c r="H88" s="70" t="n">
        <v>4111.1</v>
      </c>
      <c r="I88" s="70" t="n">
        <v>4072.92</v>
      </c>
      <c r="J88" s="70" t="n">
        <v>3736.27</v>
      </c>
      <c r="K88" s="70" t="n">
        <v>4150.33</v>
      </c>
      <c r="L88" s="70" t="n">
        <v>4060.44</v>
      </c>
      <c r="M88" s="70" t="n">
        <v>4095.81</v>
      </c>
      <c r="N88" s="70" t="n">
        <v>4132.12</v>
      </c>
      <c r="O88" s="70" t="n">
        <v>3387.16</v>
      </c>
      <c r="P88" s="28">
        <f>SUM(D88:O88)</f>
        <v/>
      </c>
    </row>
    <row r="89">
      <c r="A89" s="68">
        <f>Stammdaten!A89</f>
        <v/>
      </c>
      <c r="B89" s="69">
        <f>Stammdaten!B89</f>
        <v/>
      </c>
      <c r="C89" s="69">
        <f>Stammdaten!C89</f>
        <v/>
      </c>
      <c r="D89" s="70" t="n">
        <v>5480.59</v>
      </c>
      <c r="E89" s="70" t="n">
        <v>5868.74</v>
      </c>
      <c r="F89" s="70" t="n">
        <v>5434.5</v>
      </c>
      <c r="G89" s="70" t="n">
        <v>5613.65</v>
      </c>
      <c r="H89" s="70" t="n">
        <v>5509.85</v>
      </c>
      <c r="I89" s="70" t="n">
        <v>5571.6</v>
      </c>
      <c r="J89" s="70" t="n">
        <v>4900.17</v>
      </c>
      <c r="K89" s="70" t="n">
        <v>5597.92</v>
      </c>
      <c r="L89" s="70" t="n">
        <v>5798.19</v>
      </c>
      <c r="M89" s="70" t="n">
        <v>5452.45</v>
      </c>
      <c r="N89" s="70" t="n">
        <v>5425.02</v>
      </c>
      <c r="O89" s="70" t="n">
        <v>5288.84</v>
      </c>
      <c r="P89" s="28">
        <f>SUM(D89:O89)</f>
        <v/>
      </c>
    </row>
    <row r="90">
      <c r="A90" s="68">
        <f>Stammdaten!A90</f>
        <v/>
      </c>
      <c r="B90" s="69">
        <f>Stammdaten!B90</f>
        <v/>
      </c>
      <c r="C90" s="69">
        <f>Stammdaten!C90</f>
        <v/>
      </c>
      <c r="D90" s="70" t="n">
        <v>4358.48</v>
      </c>
      <c r="E90" s="70" t="n">
        <v>4422.55</v>
      </c>
      <c r="F90" s="70" t="n">
        <v>4378</v>
      </c>
      <c r="G90" s="70" t="n">
        <v>4271.33</v>
      </c>
      <c r="H90" s="70" t="n">
        <v>4487.55</v>
      </c>
      <c r="I90" s="70" t="n">
        <v>4377.42</v>
      </c>
      <c r="J90" s="70" t="n">
        <v>4168.26</v>
      </c>
      <c r="K90" s="70" t="n">
        <v>4524.68</v>
      </c>
      <c r="L90" s="70" t="n">
        <v>4524.6</v>
      </c>
      <c r="M90" s="70" t="n">
        <v>4237.46</v>
      </c>
      <c r="N90" s="70" t="n">
        <v>4171.54</v>
      </c>
      <c r="O90" s="70" t="n">
        <v>3945.58</v>
      </c>
      <c r="P90" s="28">
        <f>SUM(D90:O90)</f>
        <v/>
      </c>
    </row>
    <row r="91">
      <c r="A91" s="68">
        <f>Stammdaten!A91</f>
        <v/>
      </c>
      <c r="B91" s="69">
        <f>Stammdaten!B91</f>
        <v/>
      </c>
      <c r="C91" s="69">
        <f>Stammdaten!C91</f>
        <v/>
      </c>
      <c r="D91" s="70" t="n">
        <v>4176.83</v>
      </c>
      <c r="E91" s="70" t="n">
        <v>3942.19</v>
      </c>
      <c r="F91" s="70" t="n">
        <v>4112.66</v>
      </c>
      <c r="G91" s="70" t="n">
        <v>4100.79</v>
      </c>
      <c r="H91" s="70" t="n">
        <v>3914.81</v>
      </c>
      <c r="I91" s="70" t="n">
        <v>4125.68</v>
      </c>
      <c r="J91" s="70" t="n">
        <v>3423.91</v>
      </c>
      <c r="K91" s="70" t="n">
        <v>4123.88</v>
      </c>
      <c r="L91" s="70" t="n">
        <v>3947.02</v>
      </c>
      <c r="M91" s="70" t="n">
        <v>4196.05</v>
      </c>
      <c r="N91" s="70" t="n">
        <v>4228.29</v>
      </c>
      <c r="O91" s="70" t="n">
        <v>3828.18</v>
      </c>
      <c r="P91" s="28">
        <f>SUM(D91:O91)</f>
        <v/>
      </c>
    </row>
    <row r="92">
      <c r="A92" s="68">
        <f>Stammdaten!A92</f>
        <v/>
      </c>
      <c r="B92" s="69">
        <f>Stammdaten!B92</f>
        <v/>
      </c>
      <c r="C92" s="69">
        <f>Stammdaten!C92</f>
        <v/>
      </c>
      <c r="D92" s="70" t="n">
        <v>5410.21</v>
      </c>
      <c r="E92" s="70" t="n">
        <v>5546</v>
      </c>
      <c r="F92" s="70" t="n">
        <v>5406.7</v>
      </c>
      <c r="G92" s="70" t="n">
        <v>5550.74</v>
      </c>
      <c r="H92" s="70" t="n">
        <v>5445.51</v>
      </c>
      <c r="I92" s="70" t="n">
        <v>5395.28</v>
      </c>
      <c r="J92" s="70" t="n">
        <v>5071.42</v>
      </c>
      <c r="K92" s="70" t="n">
        <v>5632.71</v>
      </c>
      <c r="L92" s="70" t="n">
        <v>5688.56</v>
      </c>
      <c r="M92" s="70" t="n">
        <v>5360.11</v>
      </c>
      <c r="N92" s="70" t="n">
        <v>5591.56</v>
      </c>
      <c r="O92" s="70" t="n">
        <v>5164.38</v>
      </c>
      <c r="P92" s="28">
        <f>SUM(D92:O92)</f>
        <v/>
      </c>
    </row>
    <row r="93">
      <c r="A93" s="68">
        <f>Stammdaten!A93</f>
        <v/>
      </c>
      <c r="B93" s="69">
        <f>Stammdaten!B93</f>
        <v/>
      </c>
      <c r="C93" s="69">
        <f>Stammdaten!C93</f>
        <v/>
      </c>
      <c r="D93" s="70" t="n">
        <v>5031.55</v>
      </c>
      <c r="E93" s="70" t="n">
        <v>4981.67</v>
      </c>
      <c r="F93" s="70" t="n">
        <v>5170.09</v>
      </c>
      <c r="G93" s="70" t="n">
        <v>5133.12</v>
      </c>
      <c r="H93" s="70" t="n">
        <v>5165.13</v>
      </c>
      <c r="I93" s="70" t="n">
        <v>5069.55</v>
      </c>
      <c r="J93" s="70" t="n">
        <v>4682.97</v>
      </c>
      <c r="K93" s="70" t="n">
        <v>4827.88</v>
      </c>
      <c r="L93" s="70" t="n">
        <v>4975.56</v>
      </c>
      <c r="M93" s="70" t="n">
        <v>4979.16</v>
      </c>
      <c r="N93" s="70" t="n">
        <v>4992.06</v>
      </c>
      <c r="O93" s="70" t="n">
        <v>4586.14</v>
      </c>
      <c r="P93" s="28">
        <f>SUM(D93:O93)</f>
        <v/>
      </c>
    </row>
    <row r="94">
      <c r="A94" s="68">
        <f>Stammdaten!A94</f>
        <v/>
      </c>
      <c r="B94" s="69">
        <f>Stammdaten!B94</f>
        <v/>
      </c>
      <c r="C94" s="69">
        <f>Stammdaten!C94</f>
        <v/>
      </c>
      <c r="D94" s="70" t="n">
        <v>5075.9</v>
      </c>
      <c r="E94" s="70" t="n">
        <v>5205.45</v>
      </c>
      <c r="F94" s="70" t="n">
        <v>5202.38</v>
      </c>
      <c r="G94" s="70" t="n">
        <v>4838.85</v>
      </c>
      <c r="H94" s="70" t="n">
        <v>5212.76</v>
      </c>
      <c r="I94" s="70" t="n">
        <v>4923.4</v>
      </c>
      <c r="J94" s="70" t="n">
        <v>4314.88</v>
      </c>
      <c r="K94" s="70" t="n">
        <v>5058.68</v>
      </c>
      <c r="L94" s="70" t="n">
        <v>5264.04</v>
      </c>
      <c r="M94" s="70" t="n">
        <v>5040.95</v>
      </c>
      <c r="N94" s="70" t="n">
        <v>4904.8</v>
      </c>
      <c r="O94" s="70" t="n">
        <v>4473.43</v>
      </c>
      <c r="P94" s="28">
        <f>SUM(D94:O94)</f>
        <v/>
      </c>
    </row>
    <row r="95">
      <c r="A95" s="68">
        <f>Stammdaten!A95</f>
        <v/>
      </c>
      <c r="B95" s="69">
        <f>Stammdaten!B95</f>
        <v/>
      </c>
      <c r="C95" s="69">
        <f>Stammdaten!C95</f>
        <v/>
      </c>
      <c r="D95" s="70" t="n">
        <v>6119.49</v>
      </c>
      <c r="E95" s="70" t="n">
        <v>5888.47</v>
      </c>
      <c r="F95" s="70" t="n">
        <v>5805.45</v>
      </c>
      <c r="G95" s="70" t="n">
        <v>5975.59</v>
      </c>
      <c r="H95" s="70" t="n">
        <v>5649.43</v>
      </c>
      <c r="I95" s="70" t="n">
        <v>6157.07</v>
      </c>
      <c r="J95" s="70" t="n">
        <v>5467.37</v>
      </c>
      <c r="K95" s="70" t="n">
        <v>6007.78</v>
      </c>
      <c r="L95" s="70" t="n">
        <v>5823.52</v>
      </c>
      <c r="M95" s="70" t="n">
        <v>5817.62</v>
      </c>
      <c r="N95" s="70" t="n">
        <v>5992.8</v>
      </c>
      <c r="O95" s="70" t="n">
        <v>5332.59</v>
      </c>
      <c r="P95" s="28">
        <f>SUM(D95:O95)</f>
        <v/>
      </c>
    </row>
    <row r="96">
      <c r="A96" s="68">
        <f>Stammdaten!A96</f>
        <v/>
      </c>
      <c r="B96" s="69">
        <f>Stammdaten!B96</f>
        <v/>
      </c>
      <c r="C96" s="69">
        <f>Stammdaten!C96</f>
        <v/>
      </c>
      <c r="D96" s="70" t="n">
        <v>4512.72</v>
      </c>
      <c r="E96" s="70" t="n">
        <v>4319.87</v>
      </c>
      <c r="F96" s="70" t="n">
        <v>4204.22</v>
      </c>
      <c r="G96" s="70" t="n">
        <v>4310.44</v>
      </c>
      <c r="H96" s="70" t="n">
        <v>4353.3</v>
      </c>
      <c r="I96" s="70" t="n">
        <v>4423.46</v>
      </c>
      <c r="J96" s="70" t="n">
        <v>4103.69</v>
      </c>
      <c r="K96" s="70" t="n">
        <v>4464.07</v>
      </c>
      <c r="L96" s="70" t="n">
        <v>4381.27</v>
      </c>
      <c r="M96" s="70" t="n">
        <v>4335.17</v>
      </c>
      <c r="N96" s="70" t="n">
        <v>4261.05</v>
      </c>
      <c r="O96" s="70" t="n">
        <v>3951.97</v>
      </c>
      <c r="P96" s="28">
        <f>SUM(D96:O96)</f>
        <v/>
      </c>
    </row>
    <row r="97">
      <c r="A97" s="68">
        <f>Stammdaten!A97</f>
        <v/>
      </c>
      <c r="B97" s="69">
        <f>Stammdaten!B97</f>
        <v/>
      </c>
      <c r="C97" s="69">
        <f>Stammdaten!C97</f>
        <v/>
      </c>
      <c r="D97" s="70" t="n">
        <v>6222.53</v>
      </c>
      <c r="E97" s="70" t="n">
        <v>6215.53</v>
      </c>
      <c r="F97" s="70" t="n">
        <v>5851.54</v>
      </c>
      <c r="G97" s="70" t="n">
        <v>6200.4</v>
      </c>
      <c r="H97" s="70" t="n">
        <v>6208.68</v>
      </c>
      <c r="I97" s="70" t="n">
        <v>6046.78</v>
      </c>
      <c r="J97" s="70" t="n">
        <v>4978.23</v>
      </c>
      <c r="K97" s="70" t="n">
        <v>6043.95</v>
      </c>
      <c r="L97" s="70" t="n">
        <v>5985.87</v>
      </c>
      <c r="M97" s="70" t="n">
        <v>5796.49</v>
      </c>
      <c r="N97" s="70" t="n">
        <v>6016.83</v>
      </c>
      <c r="O97" s="70" t="n">
        <v>5548.64</v>
      </c>
      <c r="P97" s="28">
        <f>SUM(D97:O97)</f>
        <v/>
      </c>
    </row>
    <row r="98">
      <c r="A98" s="68">
        <f>Stammdaten!A98</f>
        <v/>
      </c>
      <c r="B98" s="69">
        <f>Stammdaten!B98</f>
        <v/>
      </c>
      <c r="C98" s="69">
        <f>Stammdaten!C98</f>
        <v/>
      </c>
      <c r="D98" s="70" t="n">
        <v>4925.73</v>
      </c>
      <c r="E98" s="70" t="n">
        <v>4873.21</v>
      </c>
      <c r="F98" s="70" t="n">
        <v>4542.84</v>
      </c>
      <c r="G98" s="70" t="n">
        <v>4925.72</v>
      </c>
      <c r="H98" s="70" t="n">
        <v>4533.2</v>
      </c>
      <c r="I98" s="70" t="n">
        <v>4597.19</v>
      </c>
      <c r="J98" s="70" t="n">
        <v>4205.73</v>
      </c>
      <c r="K98" s="70" t="n">
        <v>4838.27</v>
      </c>
      <c r="L98" s="70" t="n">
        <v>4692.01</v>
      </c>
      <c r="M98" s="70" t="n">
        <v>4690.03</v>
      </c>
      <c r="N98" s="70" t="n">
        <v>4510.66</v>
      </c>
      <c r="O98" s="70" t="n">
        <v>4604.25</v>
      </c>
      <c r="P98" s="28">
        <f>SUM(D98:O98)</f>
        <v/>
      </c>
    </row>
    <row r="99">
      <c r="A99" s="71">
        <f>Stammdaten!A99</f>
        <v/>
      </c>
      <c r="B99" s="72">
        <f>Stammdaten!B99</f>
        <v/>
      </c>
      <c r="C99" s="72">
        <f>Stammdaten!C99</f>
        <v/>
      </c>
      <c r="D99" s="70" t="n">
        <v>5783.27</v>
      </c>
      <c r="E99" s="70" t="n">
        <v>5903.67</v>
      </c>
      <c r="F99" s="70" t="n">
        <v>5950.18</v>
      </c>
      <c r="G99" s="70" t="n">
        <v>6053.83</v>
      </c>
      <c r="H99" s="70" t="n">
        <v>5816.42</v>
      </c>
      <c r="I99" s="70" t="n">
        <v>6295.08</v>
      </c>
      <c r="J99" s="70" t="n">
        <v>5534</v>
      </c>
      <c r="K99" s="70" t="n">
        <v>6153.25</v>
      </c>
      <c r="L99" s="70" t="n">
        <v>6320.92</v>
      </c>
      <c r="M99" s="70" t="n">
        <v>6187.58</v>
      </c>
      <c r="N99" s="70" t="n">
        <v>6272.55</v>
      </c>
      <c r="O99" s="70" t="n">
        <v>5030.77</v>
      </c>
      <c r="P99" s="28">
        <f>SUM(D99:O99)</f>
        <v/>
      </c>
    </row>
    <row r="100">
      <c r="A100" s="71">
        <f>Stammdaten!A100</f>
        <v/>
      </c>
      <c r="B100" s="72">
        <f>Stammdaten!B100</f>
        <v/>
      </c>
      <c r="C100" s="72">
        <f>Stammdaten!C100</f>
        <v/>
      </c>
      <c r="D100" s="70" t="n">
        <v>4152.17</v>
      </c>
      <c r="E100" s="70" t="n">
        <v>4409.6</v>
      </c>
      <c r="F100" s="70" t="n">
        <v>4351.19</v>
      </c>
      <c r="G100" s="70" t="n">
        <v>4344.57</v>
      </c>
      <c r="H100" s="70" t="n">
        <v>4123.23</v>
      </c>
      <c r="I100" s="70" t="n">
        <v>4426.53</v>
      </c>
      <c r="J100" s="70" t="n">
        <v>3693.81</v>
      </c>
      <c r="K100" s="70" t="n">
        <v>4202.04</v>
      </c>
      <c r="L100" s="70" t="n">
        <v>4183.86</v>
      </c>
      <c r="M100" s="70" t="n">
        <v>4108.36</v>
      </c>
      <c r="N100" s="70" t="n">
        <v>4143.64</v>
      </c>
      <c r="O100" s="70" t="n">
        <v>4045.19</v>
      </c>
      <c r="P100" s="28">
        <f>SUM(D100:O100)</f>
        <v/>
      </c>
    </row>
    <row r="101">
      <c r="A101" s="71">
        <f>Stammdaten!A101</f>
        <v/>
      </c>
      <c r="B101" s="72">
        <f>Stammdaten!B101</f>
        <v/>
      </c>
      <c r="C101" s="72">
        <f>Stammdaten!C101</f>
        <v/>
      </c>
      <c r="D101" s="70" t="n">
        <v>6381.33</v>
      </c>
      <c r="E101" s="70" t="n">
        <v>6506.65</v>
      </c>
      <c r="F101" s="70" t="n">
        <v>6669.96</v>
      </c>
      <c r="G101" s="70" t="n">
        <v>6783.7</v>
      </c>
      <c r="H101" s="70" t="n">
        <v>6455.37</v>
      </c>
      <c r="I101" s="70" t="n">
        <v>6536.02</v>
      </c>
      <c r="J101" s="70" t="n">
        <v>6058.72</v>
      </c>
      <c r="K101" s="70" t="n">
        <v>6224</v>
      </c>
      <c r="L101" s="70" t="n">
        <v>6280.93</v>
      </c>
      <c r="M101" s="70" t="n">
        <v>6504.53</v>
      </c>
      <c r="N101" s="70" t="n">
        <v>6670.88</v>
      </c>
      <c r="O101" s="70" t="n">
        <v>6317.86</v>
      </c>
      <c r="P101" s="28">
        <f>SUM(D101:O101)</f>
        <v/>
      </c>
    </row>
    <row r="102">
      <c r="A102" s="71">
        <f>Stammdaten!A102</f>
        <v/>
      </c>
      <c r="B102" s="72">
        <f>Stammdaten!B102</f>
        <v/>
      </c>
      <c r="C102" s="72">
        <f>Stammdaten!C102</f>
        <v/>
      </c>
      <c r="D102" s="70" t="n">
        <v>4881.95</v>
      </c>
      <c r="E102" s="70" t="n">
        <v>5257.35</v>
      </c>
      <c r="F102" s="70" t="n">
        <v>5023.23</v>
      </c>
      <c r="G102" s="70" t="n">
        <v>5053.2</v>
      </c>
      <c r="H102" s="70" t="n">
        <v>5246.92</v>
      </c>
      <c r="I102" s="70" t="n">
        <v>4863.55</v>
      </c>
      <c r="J102" s="70" t="n">
        <v>4646.54</v>
      </c>
      <c r="K102" s="70" t="n">
        <v>5294.23</v>
      </c>
      <c r="L102" s="70" t="n">
        <v>5193.08</v>
      </c>
      <c r="M102" s="70" t="n">
        <v>5015.27</v>
      </c>
      <c r="N102" s="70" t="n">
        <v>5041.47</v>
      </c>
      <c r="O102" s="70" t="n">
        <v>4916.22</v>
      </c>
      <c r="P102" s="28">
        <f>SUM(D102:O102)</f>
        <v/>
      </c>
    </row>
    <row r="103">
      <c r="A103" s="71">
        <f>Stammdaten!A103</f>
        <v/>
      </c>
      <c r="B103" s="72">
        <f>Stammdaten!B103</f>
        <v/>
      </c>
      <c r="C103" s="72">
        <f>Stammdaten!C103</f>
        <v/>
      </c>
      <c r="D103" s="70" t="n">
        <v>4810.61</v>
      </c>
      <c r="E103" s="70" t="n">
        <v>5188.84</v>
      </c>
      <c r="F103" s="70" t="n">
        <v>4797.78</v>
      </c>
      <c r="G103" s="70" t="n">
        <v>4966.6</v>
      </c>
      <c r="H103" s="70" t="n">
        <v>4946.77</v>
      </c>
      <c r="I103" s="70" t="n">
        <v>5098.67</v>
      </c>
      <c r="J103" s="70" t="n">
        <v>4904.44</v>
      </c>
      <c r="K103" s="70" t="n">
        <v>5148.83</v>
      </c>
      <c r="L103" s="70" t="n">
        <v>4969.02</v>
      </c>
      <c r="M103" s="70" t="n">
        <v>4947.89</v>
      </c>
      <c r="N103" s="70" t="n">
        <v>5043.35</v>
      </c>
      <c r="O103" s="70" t="n">
        <v>4757.04</v>
      </c>
      <c r="P103" s="28">
        <f>SUM(D103:O103)</f>
        <v/>
      </c>
    </row>
    <row r="104">
      <c r="A104" s="71">
        <f>Stammdaten!A104</f>
        <v/>
      </c>
      <c r="B104" s="72">
        <f>Stammdaten!B104</f>
        <v/>
      </c>
      <c r="C104" s="72">
        <f>Stammdaten!C104</f>
        <v/>
      </c>
      <c r="D104" s="70" t="n">
        <v>6144.33</v>
      </c>
      <c r="E104" s="70" t="n">
        <v>6045.88</v>
      </c>
      <c r="F104" s="70" t="n">
        <v>5909.9</v>
      </c>
      <c r="G104" s="70" t="n">
        <v>5936.03</v>
      </c>
      <c r="H104" s="70" t="n">
        <v>6020.95</v>
      </c>
      <c r="I104" s="70" t="n">
        <v>6119.47</v>
      </c>
      <c r="J104" s="70" t="n">
        <v>5250.96</v>
      </c>
      <c r="K104" s="70" t="n">
        <v>5948.62</v>
      </c>
      <c r="L104" s="70" t="n">
        <v>5943.44</v>
      </c>
      <c r="M104" s="70" t="n">
        <v>6079.53</v>
      </c>
      <c r="N104" s="70" t="n">
        <v>5855.62</v>
      </c>
      <c r="O104" s="70" t="n">
        <v>5439.98</v>
      </c>
      <c r="P104" s="28">
        <f>SUM(D104:O104)</f>
        <v/>
      </c>
    </row>
    <row r="105">
      <c r="A105" s="71">
        <f>Stammdaten!A105</f>
        <v/>
      </c>
      <c r="B105" s="72">
        <f>Stammdaten!B105</f>
        <v/>
      </c>
      <c r="C105" s="72">
        <f>Stammdaten!C105</f>
        <v/>
      </c>
      <c r="D105" s="70" t="n">
        <v>6286.65</v>
      </c>
      <c r="E105" s="70" t="n">
        <v>6244.94</v>
      </c>
      <c r="F105" s="70" t="n">
        <v>6514.66</v>
      </c>
      <c r="G105" s="70" t="n">
        <v>5976.08</v>
      </c>
      <c r="H105" s="70" t="n">
        <v>5986.18</v>
      </c>
      <c r="I105" s="70" t="n">
        <v>6428.09</v>
      </c>
      <c r="J105" s="70" t="n">
        <v>6105.11</v>
      </c>
      <c r="K105" s="70" t="n">
        <v>6280.67</v>
      </c>
      <c r="L105" s="70" t="n">
        <v>6221.31</v>
      </c>
      <c r="M105" s="70" t="n">
        <v>6427.76</v>
      </c>
      <c r="N105" s="70" t="n">
        <v>6438.39</v>
      </c>
      <c r="O105" s="70" t="n">
        <v>5936.78</v>
      </c>
      <c r="P105" s="28">
        <f>SUM(D105:O105)</f>
        <v/>
      </c>
    </row>
    <row r="106">
      <c r="A106" s="71">
        <f>Stammdaten!A106</f>
        <v/>
      </c>
      <c r="B106" s="72">
        <f>Stammdaten!B106</f>
        <v/>
      </c>
      <c r="C106" s="72">
        <f>Stammdaten!C106</f>
        <v/>
      </c>
      <c r="D106" s="70" t="n">
        <v>4854.47</v>
      </c>
      <c r="E106" s="70" t="n">
        <v>4724.26</v>
      </c>
      <c r="F106" s="70" t="n">
        <v>4914.91</v>
      </c>
      <c r="G106" s="70" t="n">
        <v>4732.3</v>
      </c>
      <c r="H106" s="70" t="n">
        <v>4956.47</v>
      </c>
      <c r="I106" s="70" t="n">
        <v>4924.3</v>
      </c>
      <c r="J106" s="70" t="n">
        <v>4208.74</v>
      </c>
      <c r="K106" s="70" t="n">
        <v>4623.8</v>
      </c>
      <c r="L106" s="70" t="n">
        <v>4664.45</v>
      </c>
      <c r="M106" s="70" t="n">
        <v>4653.73</v>
      </c>
      <c r="N106" s="70" t="n">
        <v>4896.58</v>
      </c>
      <c r="O106" s="70" t="n">
        <v>4500.44</v>
      </c>
      <c r="P106" s="28">
        <f>SUM(D106:O106)</f>
        <v/>
      </c>
    </row>
    <row r="107">
      <c r="A107" s="71">
        <f>Stammdaten!A107</f>
        <v/>
      </c>
      <c r="B107" s="72">
        <f>Stammdaten!B107</f>
        <v/>
      </c>
      <c r="C107" s="72">
        <f>Stammdaten!C107</f>
        <v/>
      </c>
      <c r="D107" s="70" t="n">
        <v>6488.32</v>
      </c>
      <c r="E107" s="70" t="n">
        <v>6197.99</v>
      </c>
      <c r="F107" s="70" t="n">
        <v>6516.8</v>
      </c>
      <c r="G107" s="70" t="n">
        <v>6535.32</v>
      </c>
      <c r="H107" s="70" t="n">
        <v>6649.14</v>
      </c>
      <c r="I107" s="70" t="n">
        <v>6597.29</v>
      </c>
      <c r="J107" s="70" t="n">
        <v>5929.26</v>
      </c>
      <c r="K107" s="70" t="n">
        <v>6547.54</v>
      </c>
      <c r="L107" s="70" t="n">
        <v>6707.4</v>
      </c>
      <c r="M107" s="70" t="n">
        <v>6549.19</v>
      </c>
      <c r="N107" s="70" t="n">
        <v>6339.65</v>
      </c>
      <c r="O107" s="70" t="n">
        <v>5673.31</v>
      </c>
      <c r="P107" s="28">
        <f>SUM(D107:O107)</f>
        <v/>
      </c>
    </row>
    <row r="108">
      <c r="A108" s="71">
        <f>Stammdaten!A108</f>
        <v/>
      </c>
      <c r="B108" s="72">
        <f>Stammdaten!B108</f>
        <v/>
      </c>
      <c r="C108" s="72">
        <f>Stammdaten!C108</f>
        <v/>
      </c>
      <c r="D108" s="70" t="n">
        <v>4066.86</v>
      </c>
      <c r="E108" s="70" t="n">
        <v>4079.78</v>
      </c>
      <c r="F108" s="70" t="n">
        <v>4148.54</v>
      </c>
      <c r="G108" s="70" t="n">
        <v>3959.56</v>
      </c>
      <c r="H108" s="70" t="n">
        <v>4140.38</v>
      </c>
      <c r="I108" s="70" t="n">
        <v>4215.61</v>
      </c>
      <c r="J108" s="70" t="n">
        <v>3961.01</v>
      </c>
      <c r="K108" s="70" t="n">
        <v>4077.85</v>
      </c>
      <c r="L108" s="70" t="n">
        <v>4138.91</v>
      </c>
      <c r="M108" s="70" t="n">
        <v>4085.04</v>
      </c>
      <c r="N108" s="70" t="n">
        <v>4223.43</v>
      </c>
      <c r="O108" s="70" t="n">
        <v>3915.1</v>
      </c>
      <c r="P108" s="28">
        <f>SUM(D108:O108)</f>
        <v/>
      </c>
    </row>
  </sheetData>
  <mergeCells count="2">
    <mergeCell ref="A1:P1"/>
    <mergeCell ref="A2:P2"/>
  </mergeCells>
  <conditionalFormatting sqref="P9:P108">
    <cfRule type="dataBar" priority="1">
      <dataBar showValue="1">
        <cfvo type="min"/>
        <cfvo type="max"/>
        <color rgb="003E6B8A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E6B8A"/>
    <outlinePr summaryBelow="1" summaryRight="1"/>
    <pageSetUpPr/>
  </sheetPr>
  <dimension ref="A1:P108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outlineLevel="1" width="11" customWidth="1" min="15" max="15"/>
    <col width="14" customWidth="1" min="16" max="16"/>
  </cols>
  <sheetData>
    <row r="1" ht="26" customHeight="1">
      <c r="A1" s="1" t="inlineStr">
        <is>
          <t>SELBSTKOSTEN — Ist-Kosten je Mitarbeiter nach Lohnüberweisung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5" customHeight="1">
      <c r="A2" s="3" t="inlineStr">
        <is>
          <t>Tatsächliche Personalkosten (Lohn/Gehalt inkl. Lohnnebenkosten) je Mitarbeiter nach erfolgter Lohnüberweisung eintragen.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6" customHeight="1"/>
    <row r="4" ht="14" customHeight="1">
      <c r="A4" s="66" t="inlineStr">
        <is>
          <t xml:space="preserve"> Verknüpfung aus Stammdaten</t>
        </is>
      </c>
      <c r="D4" s="48" t="inlineStr">
        <is>
          <t xml:space="preserve"> Eingabefeld (bitte je Monat ausfüllen)</t>
        </is>
      </c>
      <c r="G4" s="67" t="inlineStr">
        <is>
          <t xml:space="preserve"> Formel (Jahressumme)</t>
        </is>
      </c>
    </row>
    <row r="8" ht="30" customHeight="1">
      <c r="A8" s="49" t="inlineStr">
        <is>
          <t>ID</t>
        </is>
      </c>
      <c r="B8" s="49" t="inlineStr">
        <is>
          <t>Kunde</t>
        </is>
      </c>
      <c r="C8" s="49" t="inlineStr">
        <is>
          <t>Mitarbeiter</t>
        </is>
      </c>
      <c r="D8" s="49" t="inlineStr">
        <is>
          <t>Jan</t>
        </is>
      </c>
      <c r="E8" s="49" t="inlineStr">
        <is>
          <t>Feb</t>
        </is>
      </c>
      <c r="F8" s="49" t="inlineStr">
        <is>
          <t>Mär</t>
        </is>
      </c>
      <c r="G8" s="49" t="inlineStr">
        <is>
          <t>Apr</t>
        </is>
      </c>
      <c r="H8" s="49" t="inlineStr">
        <is>
          <t>Mai</t>
        </is>
      </c>
      <c r="I8" s="49" t="inlineStr">
        <is>
          <t>Jun</t>
        </is>
      </c>
      <c r="J8" s="49" t="inlineStr">
        <is>
          <t>Jul</t>
        </is>
      </c>
      <c r="K8" s="49" t="inlineStr">
        <is>
          <t>Aug</t>
        </is>
      </c>
      <c r="L8" s="49" t="inlineStr">
        <is>
          <t>Sep</t>
        </is>
      </c>
      <c r="M8" s="49" t="inlineStr">
        <is>
          <t>Okt</t>
        </is>
      </c>
      <c r="N8" s="49" t="inlineStr">
        <is>
          <t>Nov</t>
        </is>
      </c>
      <c r="O8" s="49" t="inlineStr">
        <is>
          <t>Dez</t>
        </is>
      </c>
      <c r="P8" s="49" t="inlineStr">
        <is>
          <t>Summe Jahr</t>
        </is>
      </c>
    </row>
    <row r="9">
      <c r="A9" s="68">
        <f>Stammdaten!A9</f>
        <v/>
      </c>
      <c r="B9" s="69">
        <f>Stammdaten!B9</f>
        <v/>
      </c>
      <c r="C9" s="69">
        <f>Stammdaten!C9</f>
        <v/>
      </c>
      <c r="D9" s="70" t="n">
        <v>3261.68</v>
      </c>
      <c r="E9" s="70" t="n">
        <v>3504.32</v>
      </c>
      <c r="F9" s="70" t="n">
        <v>3432.84</v>
      </c>
      <c r="G9" s="70" t="n">
        <v>3255.1</v>
      </c>
      <c r="H9" s="70" t="n">
        <v>3279.41</v>
      </c>
      <c r="I9" s="70" t="n">
        <v>3481.59</v>
      </c>
      <c r="J9" s="70" t="n">
        <v>3299.5</v>
      </c>
      <c r="K9" s="70" t="n">
        <v>3279.33</v>
      </c>
      <c r="L9" s="70" t="n">
        <v>3153.35</v>
      </c>
      <c r="M9" s="70" t="n">
        <v>3320.66</v>
      </c>
      <c r="N9" s="70" t="n">
        <v>3373.39</v>
      </c>
      <c r="O9" s="70" t="n">
        <v>2934.1</v>
      </c>
      <c r="P9" s="28">
        <f>SUM(D9:O9)</f>
        <v/>
      </c>
    </row>
    <row r="10">
      <c r="A10" s="68">
        <f>Stammdaten!A10</f>
        <v/>
      </c>
      <c r="B10" s="69">
        <f>Stammdaten!B10</f>
        <v/>
      </c>
      <c r="C10" s="69">
        <f>Stammdaten!C10</f>
        <v/>
      </c>
      <c r="D10" s="70" t="n">
        <v>4030.29</v>
      </c>
      <c r="E10" s="70" t="n">
        <v>3739.69</v>
      </c>
      <c r="F10" s="70" t="n">
        <v>3685.29</v>
      </c>
      <c r="G10" s="70" t="n">
        <v>3855.34</v>
      </c>
      <c r="H10" s="70" t="n">
        <v>3800.46</v>
      </c>
      <c r="I10" s="70" t="n">
        <v>3603.7</v>
      </c>
      <c r="J10" s="70" t="n">
        <v>3327.19</v>
      </c>
      <c r="K10" s="70" t="n">
        <v>3686.09</v>
      </c>
      <c r="L10" s="70" t="n">
        <v>3941.31</v>
      </c>
      <c r="M10" s="70" t="n">
        <v>3836.83</v>
      </c>
      <c r="N10" s="70" t="n">
        <v>3626.78</v>
      </c>
      <c r="O10" s="70" t="n">
        <v>3356.29</v>
      </c>
      <c r="P10" s="28">
        <f>SUM(D10:O10)</f>
        <v/>
      </c>
    </row>
    <row r="11">
      <c r="A11" s="68">
        <f>Stammdaten!A11</f>
        <v/>
      </c>
      <c r="B11" s="69">
        <f>Stammdaten!B11</f>
        <v/>
      </c>
      <c r="C11" s="69">
        <f>Stammdaten!C11</f>
        <v/>
      </c>
      <c r="D11" s="70" t="n">
        <v>4034.53</v>
      </c>
      <c r="E11" s="70" t="n">
        <v>3990.05</v>
      </c>
      <c r="F11" s="70" t="n">
        <v>3927.38</v>
      </c>
      <c r="G11" s="70" t="n">
        <v>3828.75</v>
      </c>
      <c r="H11" s="70" t="n">
        <v>3858.5</v>
      </c>
      <c r="I11" s="70" t="n">
        <v>3926.12</v>
      </c>
      <c r="J11" s="70" t="n">
        <v>3551.17</v>
      </c>
      <c r="K11" s="70" t="n">
        <v>3962.51</v>
      </c>
      <c r="L11" s="70" t="n">
        <v>3725.3</v>
      </c>
      <c r="M11" s="70" t="n">
        <v>4115.47</v>
      </c>
      <c r="N11" s="70" t="n">
        <v>4013.6</v>
      </c>
      <c r="O11" s="70" t="n">
        <v>3737.14</v>
      </c>
      <c r="P11" s="28">
        <f>SUM(D11:O11)</f>
        <v/>
      </c>
    </row>
    <row r="12">
      <c r="A12" s="68">
        <f>Stammdaten!A12</f>
        <v/>
      </c>
      <c r="B12" s="69">
        <f>Stammdaten!B12</f>
        <v/>
      </c>
      <c r="C12" s="69">
        <f>Stammdaten!C12</f>
        <v/>
      </c>
      <c r="D12" s="70" t="n">
        <v>3233.83</v>
      </c>
      <c r="E12" s="70" t="n">
        <v>3108.11</v>
      </c>
      <c r="F12" s="70" t="n">
        <v>3077.69</v>
      </c>
      <c r="G12" s="70" t="n">
        <v>2972.65</v>
      </c>
      <c r="H12" s="70" t="n">
        <v>3114.87</v>
      </c>
      <c r="I12" s="70" t="n">
        <v>3104.9</v>
      </c>
      <c r="J12" s="70" t="n">
        <v>2836.96</v>
      </c>
      <c r="K12" s="70" t="n">
        <v>3079.07</v>
      </c>
      <c r="L12" s="70" t="n">
        <v>3124.51</v>
      </c>
      <c r="M12" s="70" t="n">
        <v>2996.74</v>
      </c>
      <c r="N12" s="70" t="n">
        <v>3009.89</v>
      </c>
      <c r="O12" s="70" t="n">
        <v>2567.64</v>
      </c>
      <c r="P12" s="28">
        <f>SUM(D12:O12)</f>
        <v/>
      </c>
    </row>
    <row r="13">
      <c r="A13" s="68">
        <f>Stammdaten!A13</f>
        <v/>
      </c>
      <c r="B13" s="69">
        <f>Stammdaten!B13</f>
        <v/>
      </c>
      <c r="C13" s="69">
        <f>Stammdaten!C13</f>
        <v/>
      </c>
      <c r="D13" s="70" t="n">
        <v>6986.64</v>
      </c>
      <c r="E13" s="70" t="n">
        <v>6806.15</v>
      </c>
      <c r="F13" s="70" t="n">
        <v>7052.04</v>
      </c>
      <c r="G13" s="70" t="n">
        <v>7321.87</v>
      </c>
      <c r="H13" s="70" t="n">
        <v>7349.54</v>
      </c>
      <c r="I13" s="70" t="n">
        <v>7088.62</v>
      </c>
      <c r="J13" s="70" t="n">
        <v>6465.63</v>
      </c>
      <c r="K13" s="70" t="n">
        <v>6809.58</v>
      </c>
      <c r="L13" s="70" t="n">
        <v>7043.6</v>
      </c>
      <c r="M13" s="70" t="n">
        <v>7343.89</v>
      </c>
      <c r="N13" s="70" t="n">
        <v>6664.36</v>
      </c>
      <c r="O13" s="70" t="n">
        <v>5931.04</v>
      </c>
      <c r="P13" s="28">
        <f>SUM(D13:O13)</f>
        <v/>
      </c>
    </row>
    <row r="14">
      <c r="A14" s="68">
        <f>Stammdaten!A14</f>
        <v/>
      </c>
      <c r="B14" s="69">
        <f>Stammdaten!B14</f>
        <v/>
      </c>
      <c r="C14" s="69">
        <f>Stammdaten!C14</f>
        <v/>
      </c>
      <c r="D14" s="70" t="n">
        <v>2438.1</v>
      </c>
      <c r="E14" s="70" t="n">
        <v>2494.66</v>
      </c>
      <c r="F14" s="70" t="n">
        <v>2456.18</v>
      </c>
      <c r="G14" s="70" t="n">
        <v>2515.92</v>
      </c>
      <c r="H14" s="70" t="n">
        <v>2524.66</v>
      </c>
      <c r="I14" s="70" t="n">
        <v>2473.97</v>
      </c>
      <c r="J14" s="70" t="n">
        <v>2370.54</v>
      </c>
      <c r="K14" s="70" t="n">
        <v>2465.81</v>
      </c>
      <c r="L14" s="70" t="n">
        <v>2446.29</v>
      </c>
      <c r="M14" s="70" t="n">
        <v>2699.42</v>
      </c>
      <c r="N14" s="70" t="n">
        <v>2544.83</v>
      </c>
      <c r="O14" s="70" t="n">
        <v>2300.82</v>
      </c>
      <c r="P14" s="28">
        <f>SUM(D14:O14)</f>
        <v/>
      </c>
    </row>
    <row r="15">
      <c r="A15" s="68">
        <f>Stammdaten!A15</f>
        <v/>
      </c>
      <c r="B15" s="69">
        <f>Stammdaten!B15</f>
        <v/>
      </c>
      <c r="C15" s="69">
        <f>Stammdaten!C15</f>
        <v/>
      </c>
      <c r="D15" s="70" t="n">
        <v>3878.91</v>
      </c>
      <c r="E15" s="70" t="n">
        <v>3941.03</v>
      </c>
      <c r="F15" s="70" t="n">
        <v>3877.07</v>
      </c>
      <c r="G15" s="70" t="n">
        <v>3788.12</v>
      </c>
      <c r="H15" s="70" t="n">
        <v>4168.16</v>
      </c>
      <c r="I15" s="70" t="n">
        <v>4245.43</v>
      </c>
      <c r="J15" s="70" t="n">
        <v>3937.96</v>
      </c>
      <c r="K15" s="70" t="n">
        <v>3980.96</v>
      </c>
      <c r="L15" s="70" t="n">
        <v>3986.92</v>
      </c>
      <c r="M15" s="70" t="n">
        <v>3782.72</v>
      </c>
      <c r="N15" s="70" t="n">
        <v>4125.53</v>
      </c>
      <c r="O15" s="70" t="n">
        <v>3468.9</v>
      </c>
      <c r="P15" s="28">
        <f>SUM(D15:O15)</f>
        <v/>
      </c>
    </row>
    <row r="16">
      <c r="A16" s="68">
        <f>Stammdaten!A16</f>
        <v/>
      </c>
      <c r="B16" s="69">
        <f>Stammdaten!B16</f>
        <v/>
      </c>
      <c r="C16" s="69">
        <f>Stammdaten!C16</f>
        <v/>
      </c>
      <c r="D16" s="70" t="n">
        <v>5624.57</v>
      </c>
      <c r="E16" s="70" t="n">
        <v>5893.53</v>
      </c>
      <c r="F16" s="70" t="n">
        <v>5799.35</v>
      </c>
      <c r="G16" s="70" t="n">
        <v>5881.95</v>
      </c>
      <c r="H16" s="70" t="n">
        <v>6068.18</v>
      </c>
      <c r="I16" s="70" t="n">
        <v>5832.69</v>
      </c>
      <c r="J16" s="70" t="n">
        <v>5510.26</v>
      </c>
      <c r="K16" s="70" t="n">
        <v>6085.57</v>
      </c>
      <c r="L16" s="70" t="n">
        <v>6251.92</v>
      </c>
      <c r="M16" s="70" t="n">
        <v>5734.04</v>
      </c>
      <c r="N16" s="70" t="n">
        <v>5944.68</v>
      </c>
      <c r="O16" s="70" t="n">
        <v>5563.85</v>
      </c>
      <c r="P16" s="28">
        <f>SUM(D16:O16)</f>
        <v/>
      </c>
    </row>
    <row r="17">
      <c r="A17" s="68">
        <f>Stammdaten!A17</f>
        <v/>
      </c>
      <c r="B17" s="69">
        <f>Stammdaten!B17</f>
        <v/>
      </c>
      <c r="C17" s="69">
        <f>Stammdaten!C17</f>
        <v/>
      </c>
      <c r="D17" s="70" t="n">
        <v>3553.38</v>
      </c>
      <c r="E17" s="70" t="n">
        <v>3491.89</v>
      </c>
      <c r="F17" s="70" t="n">
        <v>3666.64</v>
      </c>
      <c r="G17" s="70" t="n">
        <v>3643.04</v>
      </c>
      <c r="H17" s="70" t="n">
        <v>3649</v>
      </c>
      <c r="I17" s="70" t="n">
        <v>3668.06</v>
      </c>
      <c r="J17" s="70" t="n">
        <v>3485.21</v>
      </c>
      <c r="K17" s="70" t="n">
        <v>3730.16</v>
      </c>
      <c r="L17" s="70" t="n">
        <v>3686.33</v>
      </c>
      <c r="M17" s="70" t="n">
        <v>3597.15</v>
      </c>
      <c r="N17" s="70" t="n">
        <v>3385.82</v>
      </c>
      <c r="O17" s="70" t="n">
        <v>3351.26</v>
      </c>
      <c r="P17" s="28">
        <f>SUM(D17:O17)</f>
        <v/>
      </c>
    </row>
    <row r="18">
      <c r="A18" s="68">
        <f>Stammdaten!A18</f>
        <v/>
      </c>
      <c r="B18" s="69">
        <f>Stammdaten!B18</f>
        <v/>
      </c>
      <c r="C18" s="69">
        <f>Stammdaten!C18</f>
        <v/>
      </c>
      <c r="D18" s="70" t="n">
        <v>3641.98</v>
      </c>
      <c r="E18" s="70" t="n">
        <v>3487.34</v>
      </c>
      <c r="F18" s="70" t="n">
        <v>3618.51</v>
      </c>
      <c r="G18" s="70" t="n">
        <v>3583.13</v>
      </c>
      <c r="H18" s="70" t="n">
        <v>3596.31</v>
      </c>
      <c r="I18" s="70" t="n">
        <v>3430.57</v>
      </c>
      <c r="J18" s="70" t="n">
        <v>2955.47</v>
      </c>
      <c r="K18" s="70" t="n">
        <v>3525.62</v>
      </c>
      <c r="L18" s="70" t="n">
        <v>3508.27</v>
      </c>
      <c r="M18" s="70" t="n">
        <v>3391.53</v>
      </c>
      <c r="N18" s="70" t="n">
        <v>3494.88</v>
      </c>
      <c r="O18" s="70" t="n">
        <v>3328.29</v>
      </c>
      <c r="P18" s="28">
        <f>SUM(D18:O18)</f>
        <v/>
      </c>
    </row>
    <row r="19">
      <c r="A19" s="71">
        <f>Stammdaten!A19</f>
        <v/>
      </c>
      <c r="B19" s="72">
        <f>Stammdaten!B19</f>
        <v/>
      </c>
      <c r="C19" s="72">
        <f>Stammdaten!C19</f>
        <v/>
      </c>
      <c r="D19" s="70" t="n">
        <v>3250.06</v>
      </c>
      <c r="E19" s="70" t="n">
        <v>3647.53</v>
      </c>
      <c r="F19" s="70" t="n">
        <v>3412.26</v>
      </c>
      <c r="G19" s="70" t="n">
        <v>3463.42</v>
      </c>
      <c r="H19" s="70" t="n">
        <v>3456.62</v>
      </c>
      <c r="I19" s="70" t="n">
        <v>3580.83</v>
      </c>
      <c r="J19" s="70" t="n">
        <v>3198.53</v>
      </c>
      <c r="K19" s="70" t="n">
        <v>3585.67</v>
      </c>
      <c r="L19" s="70" t="n">
        <v>3422.09</v>
      </c>
      <c r="M19" s="70" t="n">
        <v>3447.76</v>
      </c>
      <c r="N19" s="70" t="n">
        <v>3450.54</v>
      </c>
      <c r="O19" s="70" t="n">
        <v>2968.17</v>
      </c>
      <c r="P19" s="28">
        <f>SUM(D19:O19)</f>
        <v/>
      </c>
    </row>
    <row r="20">
      <c r="A20" s="71">
        <f>Stammdaten!A20</f>
        <v/>
      </c>
      <c r="B20" s="72">
        <f>Stammdaten!B20</f>
        <v/>
      </c>
      <c r="C20" s="72">
        <f>Stammdaten!C20</f>
        <v/>
      </c>
      <c r="D20" s="70" t="n">
        <v>2240.57</v>
      </c>
      <c r="E20" s="70" t="n">
        <v>2326.3</v>
      </c>
      <c r="F20" s="70" t="n">
        <v>2284.88</v>
      </c>
      <c r="G20" s="70" t="n">
        <v>2401.67</v>
      </c>
      <c r="H20" s="70" t="n">
        <v>2452.64</v>
      </c>
      <c r="I20" s="70" t="n">
        <v>2321.51</v>
      </c>
      <c r="J20" s="70" t="n">
        <v>2137.55</v>
      </c>
      <c r="K20" s="70" t="n">
        <v>2261.2</v>
      </c>
      <c r="L20" s="70" t="n">
        <v>2375.27</v>
      </c>
      <c r="M20" s="70" t="n">
        <v>2393.77</v>
      </c>
      <c r="N20" s="70" t="n">
        <v>2207.42</v>
      </c>
      <c r="O20" s="70" t="n">
        <v>2213.2</v>
      </c>
      <c r="P20" s="28">
        <f>SUM(D20:O20)</f>
        <v/>
      </c>
    </row>
    <row r="21">
      <c r="A21" s="71">
        <f>Stammdaten!A21</f>
        <v/>
      </c>
      <c r="B21" s="72">
        <f>Stammdaten!B21</f>
        <v/>
      </c>
      <c r="C21" s="72">
        <f>Stammdaten!C21</f>
        <v/>
      </c>
      <c r="D21" s="70" t="n">
        <v>3022.54</v>
      </c>
      <c r="E21" s="70" t="n">
        <v>3031.8</v>
      </c>
      <c r="F21" s="70" t="n">
        <v>3158.83</v>
      </c>
      <c r="G21" s="70" t="n">
        <v>3127.39</v>
      </c>
      <c r="H21" s="70" t="n">
        <v>3098.33</v>
      </c>
      <c r="I21" s="70" t="n">
        <v>3081.06</v>
      </c>
      <c r="J21" s="70" t="n">
        <v>2745.41</v>
      </c>
      <c r="K21" s="70" t="n">
        <v>2933.87</v>
      </c>
      <c r="L21" s="70" t="n">
        <v>3200.22</v>
      </c>
      <c r="M21" s="70" t="n">
        <v>2942.56</v>
      </c>
      <c r="N21" s="70" t="n">
        <v>2909.2</v>
      </c>
      <c r="O21" s="70" t="n">
        <v>2746.52</v>
      </c>
      <c r="P21" s="28">
        <f>SUM(D21:O21)</f>
        <v/>
      </c>
    </row>
    <row r="22">
      <c r="A22" s="71">
        <f>Stammdaten!A22</f>
        <v/>
      </c>
      <c r="B22" s="72">
        <f>Stammdaten!B22</f>
        <v/>
      </c>
      <c r="C22" s="72">
        <f>Stammdaten!C22</f>
        <v/>
      </c>
      <c r="D22" s="70" t="n">
        <v>2667.86</v>
      </c>
      <c r="E22" s="70" t="n">
        <v>2816.72</v>
      </c>
      <c r="F22" s="70" t="n">
        <v>2702.09</v>
      </c>
      <c r="G22" s="70" t="n">
        <v>2500.52</v>
      </c>
      <c r="H22" s="70" t="n">
        <v>2528.09</v>
      </c>
      <c r="I22" s="70" t="n">
        <v>2582.4</v>
      </c>
      <c r="J22" s="70" t="n">
        <v>2449.46</v>
      </c>
      <c r="K22" s="70" t="n">
        <v>2586.32</v>
      </c>
      <c r="L22" s="70" t="n">
        <v>2542.41</v>
      </c>
      <c r="M22" s="70" t="n">
        <v>2638.65</v>
      </c>
      <c r="N22" s="70" t="n">
        <v>2730.56</v>
      </c>
      <c r="O22" s="70" t="n">
        <v>2493.11</v>
      </c>
      <c r="P22" s="28">
        <f>SUM(D22:O22)</f>
        <v/>
      </c>
    </row>
    <row r="23">
      <c r="A23" s="71">
        <f>Stammdaten!A23</f>
        <v/>
      </c>
      <c r="B23" s="72">
        <f>Stammdaten!B23</f>
        <v/>
      </c>
      <c r="C23" s="72">
        <f>Stammdaten!C23</f>
        <v/>
      </c>
      <c r="D23" s="70" t="n">
        <v>3203.25</v>
      </c>
      <c r="E23" s="70" t="n">
        <v>3297.58</v>
      </c>
      <c r="F23" s="70" t="n">
        <v>3041.83</v>
      </c>
      <c r="G23" s="70" t="n">
        <v>3158.57</v>
      </c>
      <c r="H23" s="70" t="n">
        <v>3388.03</v>
      </c>
      <c r="I23" s="70" t="n">
        <v>3100.13</v>
      </c>
      <c r="J23" s="70" t="n">
        <v>2794.03</v>
      </c>
      <c r="K23" s="70" t="n">
        <v>3118.17</v>
      </c>
      <c r="L23" s="70" t="n">
        <v>3360.24</v>
      </c>
      <c r="M23" s="70" t="n">
        <v>3241.5</v>
      </c>
      <c r="N23" s="70" t="n">
        <v>3181.12</v>
      </c>
      <c r="O23" s="70" t="n">
        <v>2732.14</v>
      </c>
      <c r="P23" s="28">
        <f>SUM(D23:O23)</f>
        <v/>
      </c>
    </row>
    <row r="24">
      <c r="A24" s="71">
        <f>Stammdaten!A24</f>
        <v/>
      </c>
      <c r="B24" s="72">
        <f>Stammdaten!B24</f>
        <v/>
      </c>
      <c r="C24" s="72">
        <f>Stammdaten!C24</f>
        <v/>
      </c>
      <c r="D24" s="70" t="n">
        <v>3347.95</v>
      </c>
      <c r="E24" s="70" t="n">
        <v>3303.41</v>
      </c>
      <c r="F24" s="70" t="n">
        <v>3415.31</v>
      </c>
      <c r="G24" s="70" t="n">
        <v>3258.03</v>
      </c>
      <c r="H24" s="70" t="n">
        <v>3418</v>
      </c>
      <c r="I24" s="70" t="n">
        <v>3393.31</v>
      </c>
      <c r="J24" s="70" t="n">
        <v>3212.44</v>
      </c>
      <c r="K24" s="70" t="n">
        <v>3265.07</v>
      </c>
      <c r="L24" s="70" t="n">
        <v>3272.95</v>
      </c>
      <c r="M24" s="70" t="n">
        <v>3326.84</v>
      </c>
      <c r="N24" s="70" t="n">
        <v>3438.27</v>
      </c>
      <c r="O24" s="70" t="n">
        <v>3039.87</v>
      </c>
      <c r="P24" s="28">
        <f>SUM(D24:O24)</f>
        <v/>
      </c>
    </row>
    <row r="25">
      <c r="A25" s="71">
        <f>Stammdaten!A25</f>
        <v/>
      </c>
      <c r="B25" s="72">
        <f>Stammdaten!B25</f>
        <v/>
      </c>
      <c r="C25" s="72">
        <f>Stammdaten!C25</f>
        <v/>
      </c>
      <c r="D25" s="70" t="n">
        <v>2811.49</v>
      </c>
      <c r="E25" s="70" t="n">
        <v>2876.73</v>
      </c>
      <c r="F25" s="70" t="n">
        <v>2800.7</v>
      </c>
      <c r="G25" s="70" t="n">
        <v>2925.07</v>
      </c>
      <c r="H25" s="70" t="n">
        <v>2980.39</v>
      </c>
      <c r="I25" s="70" t="n">
        <v>2894.19</v>
      </c>
      <c r="J25" s="70" t="n">
        <v>2490.34</v>
      </c>
      <c r="K25" s="70" t="n">
        <v>2764.32</v>
      </c>
      <c r="L25" s="70" t="n">
        <v>3019.69</v>
      </c>
      <c r="M25" s="70" t="n">
        <v>2856.34</v>
      </c>
      <c r="N25" s="70" t="n">
        <v>2790.16</v>
      </c>
      <c r="O25" s="70" t="n">
        <v>2602.61</v>
      </c>
      <c r="P25" s="28">
        <f>SUM(D25:O25)</f>
        <v/>
      </c>
    </row>
    <row r="26">
      <c r="A26" s="71">
        <f>Stammdaten!A26</f>
        <v/>
      </c>
      <c r="B26" s="72">
        <f>Stammdaten!B26</f>
        <v/>
      </c>
      <c r="C26" s="72">
        <f>Stammdaten!C26</f>
        <v/>
      </c>
      <c r="D26" s="70" t="n">
        <v>3195.81</v>
      </c>
      <c r="E26" s="70" t="n">
        <v>3244.15</v>
      </c>
      <c r="F26" s="70" t="n">
        <v>3347.67</v>
      </c>
      <c r="G26" s="70" t="n">
        <v>3367.37</v>
      </c>
      <c r="H26" s="70" t="n">
        <v>3424.08</v>
      </c>
      <c r="I26" s="70" t="n">
        <v>3432.07</v>
      </c>
      <c r="J26" s="70" t="n">
        <v>3302.89</v>
      </c>
      <c r="K26" s="70" t="n">
        <v>3498.07</v>
      </c>
      <c r="L26" s="70" t="n">
        <v>3491.66</v>
      </c>
      <c r="M26" s="70" t="n">
        <v>3368.2</v>
      </c>
      <c r="N26" s="70" t="n">
        <v>3504.61</v>
      </c>
      <c r="O26" s="70" t="n">
        <v>2992.69</v>
      </c>
      <c r="P26" s="28">
        <f>SUM(D26:O26)</f>
        <v/>
      </c>
    </row>
    <row r="27">
      <c r="A27" s="71">
        <f>Stammdaten!A27</f>
        <v/>
      </c>
      <c r="B27" s="72">
        <f>Stammdaten!B27</f>
        <v/>
      </c>
      <c r="C27" s="72">
        <f>Stammdaten!C27</f>
        <v/>
      </c>
      <c r="D27" s="70" t="n">
        <v>4974.66</v>
      </c>
      <c r="E27" s="70" t="n">
        <v>5086</v>
      </c>
      <c r="F27" s="70" t="n">
        <v>5022.33</v>
      </c>
      <c r="G27" s="70" t="n">
        <v>5216.88</v>
      </c>
      <c r="H27" s="70" t="n">
        <v>4964.25</v>
      </c>
      <c r="I27" s="70" t="n">
        <v>5230.66</v>
      </c>
      <c r="J27" s="70" t="n">
        <v>4422.69</v>
      </c>
      <c r="K27" s="70" t="n">
        <v>5208.56</v>
      </c>
      <c r="L27" s="70" t="n">
        <v>5281.86</v>
      </c>
      <c r="M27" s="70" t="n">
        <v>5086.02</v>
      </c>
      <c r="N27" s="70" t="n">
        <v>4923.2</v>
      </c>
      <c r="O27" s="70" t="n">
        <v>4908.6</v>
      </c>
      <c r="P27" s="28">
        <f>SUM(D27:O27)</f>
        <v/>
      </c>
    </row>
    <row r="28">
      <c r="A28" s="71">
        <f>Stammdaten!A28</f>
        <v/>
      </c>
      <c r="B28" s="72">
        <f>Stammdaten!B28</f>
        <v/>
      </c>
      <c r="C28" s="72">
        <f>Stammdaten!C28</f>
        <v/>
      </c>
      <c r="D28" s="70" t="n">
        <v>4409.24</v>
      </c>
      <c r="E28" s="70" t="n">
        <v>4302.16</v>
      </c>
      <c r="F28" s="70" t="n">
        <v>4370.89</v>
      </c>
      <c r="G28" s="70" t="n">
        <v>4321.31</v>
      </c>
      <c r="H28" s="70" t="n">
        <v>4251.46</v>
      </c>
      <c r="I28" s="70" t="n">
        <v>4654.02</v>
      </c>
      <c r="J28" s="70" t="n">
        <v>3791.06</v>
      </c>
      <c r="K28" s="70" t="n">
        <v>4563.35</v>
      </c>
      <c r="L28" s="70" t="n">
        <v>4343.02</v>
      </c>
      <c r="M28" s="70" t="n">
        <v>4319.46</v>
      </c>
      <c r="N28" s="70" t="n">
        <v>4323.54</v>
      </c>
      <c r="O28" s="70" t="n">
        <v>4011.15</v>
      </c>
      <c r="P28" s="28">
        <f>SUM(D28:O28)</f>
        <v/>
      </c>
    </row>
    <row r="29">
      <c r="A29" s="68">
        <f>Stammdaten!A29</f>
        <v/>
      </c>
      <c r="B29" s="69">
        <f>Stammdaten!B29</f>
        <v/>
      </c>
      <c r="C29" s="69">
        <f>Stammdaten!C29</f>
        <v/>
      </c>
      <c r="D29" s="70" t="n">
        <v>3423.19</v>
      </c>
      <c r="E29" s="70" t="n">
        <v>3106.22</v>
      </c>
      <c r="F29" s="70" t="n">
        <v>3081.2</v>
      </c>
      <c r="G29" s="70" t="n">
        <v>3229.63</v>
      </c>
      <c r="H29" s="70" t="n">
        <v>3198.83</v>
      </c>
      <c r="I29" s="70" t="n">
        <v>3205.78</v>
      </c>
      <c r="J29" s="70" t="n">
        <v>2771.04</v>
      </c>
      <c r="K29" s="70" t="n">
        <v>3196.79</v>
      </c>
      <c r="L29" s="70" t="n">
        <v>3259.86</v>
      </c>
      <c r="M29" s="70" t="n">
        <v>3316.69</v>
      </c>
      <c r="N29" s="70" t="n">
        <v>3241.24</v>
      </c>
      <c r="O29" s="70" t="n">
        <v>2723.89</v>
      </c>
      <c r="P29" s="28">
        <f>SUM(D29:O29)</f>
        <v/>
      </c>
    </row>
    <row r="30">
      <c r="A30" s="68">
        <f>Stammdaten!A30</f>
        <v/>
      </c>
      <c r="B30" s="69">
        <f>Stammdaten!B30</f>
        <v/>
      </c>
      <c r="C30" s="69">
        <f>Stammdaten!C30</f>
        <v/>
      </c>
      <c r="D30" s="70" t="n">
        <v>3923.83</v>
      </c>
      <c r="E30" s="70" t="n">
        <v>4349</v>
      </c>
      <c r="F30" s="70" t="n">
        <v>4244.27</v>
      </c>
      <c r="G30" s="70" t="n">
        <v>4156.54</v>
      </c>
      <c r="H30" s="70" t="n">
        <v>4164.38</v>
      </c>
      <c r="I30" s="70" t="n">
        <v>4354.39</v>
      </c>
      <c r="J30" s="70" t="n">
        <v>3682.26</v>
      </c>
      <c r="K30" s="70" t="n">
        <v>4185.17</v>
      </c>
      <c r="L30" s="70" t="n">
        <v>4233.76</v>
      </c>
      <c r="M30" s="70" t="n">
        <v>4003.45</v>
      </c>
      <c r="N30" s="70" t="n">
        <v>4048.27</v>
      </c>
      <c r="O30" s="70" t="n">
        <v>3779.95</v>
      </c>
      <c r="P30" s="28">
        <f>SUM(D30:O30)</f>
        <v/>
      </c>
    </row>
    <row r="31">
      <c r="A31" s="68">
        <f>Stammdaten!A31</f>
        <v/>
      </c>
      <c r="B31" s="69">
        <f>Stammdaten!B31</f>
        <v/>
      </c>
      <c r="C31" s="69">
        <f>Stammdaten!C31</f>
        <v/>
      </c>
      <c r="D31" s="70" t="n">
        <v>3432.66</v>
      </c>
      <c r="E31" s="70" t="n">
        <v>3308.46</v>
      </c>
      <c r="F31" s="70" t="n">
        <v>3507.08</v>
      </c>
      <c r="G31" s="70" t="n">
        <v>3521.08</v>
      </c>
      <c r="H31" s="70" t="n">
        <v>3729.69</v>
      </c>
      <c r="I31" s="70" t="n">
        <v>3750.2</v>
      </c>
      <c r="J31" s="70" t="n">
        <v>3110.15</v>
      </c>
      <c r="K31" s="70" t="n">
        <v>3382.39</v>
      </c>
      <c r="L31" s="70" t="n">
        <v>3389.61</v>
      </c>
      <c r="M31" s="70" t="n">
        <v>3444.17</v>
      </c>
      <c r="N31" s="70" t="n">
        <v>3382.38</v>
      </c>
      <c r="O31" s="70" t="n">
        <v>3114.45</v>
      </c>
      <c r="P31" s="28">
        <f>SUM(D31:O31)</f>
        <v/>
      </c>
    </row>
    <row r="32">
      <c r="A32" s="68">
        <f>Stammdaten!A32</f>
        <v/>
      </c>
      <c r="B32" s="69">
        <f>Stammdaten!B32</f>
        <v/>
      </c>
      <c r="C32" s="69">
        <f>Stammdaten!C32</f>
        <v/>
      </c>
      <c r="D32" s="70" t="n">
        <v>4382.8</v>
      </c>
      <c r="E32" s="70" t="n">
        <v>3957.06</v>
      </c>
      <c r="F32" s="70" t="n">
        <v>4211.62</v>
      </c>
      <c r="G32" s="70" t="n">
        <v>4237.1</v>
      </c>
      <c r="H32" s="70" t="n">
        <v>4244.07</v>
      </c>
      <c r="I32" s="70" t="n">
        <v>4001.61</v>
      </c>
      <c r="J32" s="70" t="n">
        <v>3832.03</v>
      </c>
      <c r="K32" s="70" t="n">
        <v>4345.88</v>
      </c>
      <c r="L32" s="70" t="n">
        <v>4271.25</v>
      </c>
      <c r="M32" s="70" t="n">
        <v>4311.73</v>
      </c>
      <c r="N32" s="70" t="n">
        <v>3996.15</v>
      </c>
      <c r="O32" s="70" t="n">
        <v>3705.85</v>
      </c>
      <c r="P32" s="28">
        <f>SUM(D32:O32)</f>
        <v/>
      </c>
    </row>
    <row r="33">
      <c r="A33" s="68">
        <f>Stammdaten!A33</f>
        <v/>
      </c>
      <c r="B33" s="69">
        <f>Stammdaten!B33</f>
        <v/>
      </c>
      <c r="C33" s="69">
        <f>Stammdaten!C33</f>
        <v/>
      </c>
      <c r="D33" s="70" t="n">
        <v>3872.7</v>
      </c>
      <c r="E33" s="70" t="n">
        <v>3807.38</v>
      </c>
      <c r="F33" s="70" t="n">
        <v>3643.16</v>
      </c>
      <c r="G33" s="70" t="n">
        <v>3530.49</v>
      </c>
      <c r="H33" s="70" t="n">
        <v>3731.29</v>
      </c>
      <c r="I33" s="70" t="n">
        <v>3552.39</v>
      </c>
      <c r="J33" s="70" t="n">
        <v>3215.61</v>
      </c>
      <c r="K33" s="70" t="n">
        <v>3804.23</v>
      </c>
      <c r="L33" s="70" t="n">
        <v>3551.48</v>
      </c>
      <c r="M33" s="70" t="n">
        <v>3692.92</v>
      </c>
      <c r="N33" s="70" t="n">
        <v>3869.11</v>
      </c>
      <c r="O33" s="70" t="n">
        <v>3504.15</v>
      </c>
      <c r="P33" s="28">
        <f>SUM(D33:O33)</f>
        <v/>
      </c>
    </row>
    <row r="34">
      <c r="A34" s="68">
        <f>Stammdaten!A34</f>
        <v/>
      </c>
      <c r="B34" s="69">
        <f>Stammdaten!B34</f>
        <v/>
      </c>
      <c r="C34" s="69">
        <f>Stammdaten!C34</f>
        <v/>
      </c>
      <c r="D34" s="70" t="n">
        <v>3003.7</v>
      </c>
      <c r="E34" s="70" t="n">
        <v>3371.81</v>
      </c>
      <c r="F34" s="70" t="n">
        <v>3105.67</v>
      </c>
      <c r="G34" s="70" t="n">
        <v>3240.64</v>
      </c>
      <c r="H34" s="70" t="n">
        <v>3089.48</v>
      </c>
      <c r="I34" s="70" t="n">
        <v>3193.94</v>
      </c>
      <c r="J34" s="70" t="n">
        <v>2959.4</v>
      </c>
      <c r="K34" s="70" t="n">
        <v>3200.52</v>
      </c>
      <c r="L34" s="70" t="n">
        <v>3159.92</v>
      </c>
      <c r="M34" s="70" t="n">
        <v>3284.07</v>
      </c>
      <c r="N34" s="70" t="n">
        <v>3085.22</v>
      </c>
      <c r="O34" s="70" t="n">
        <v>3011.51</v>
      </c>
      <c r="P34" s="28">
        <f>SUM(D34:O34)</f>
        <v/>
      </c>
    </row>
    <row r="35">
      <c r="A35" s="68">
        <f>Stammdaten!A35</f>
        <v/>
      </c>
      <c r="B35" s="69">
        <f>Stammdaten!B35</f>
        <v/>
      </c>
      <c r="C35" s="69">
        <f>Stammdaten!C35</f>
        <v/>
      </c>
      <c r="D35" s="70" t="n">
        <v>4568.49</v>
      </c>
      <c r="E35" s="70" t="n">
        <v>4254.64</v>
      </c>
      <c r="F35" s="70" t="n">
        <v>4234.3</v>
      </c>
      <c r="G35" s="70" t="n">
        <v>4346.06</v>
      </c>
      <c r="H35" s="70" t="n">
        <v>4425.24</v>
      </c>
      <c r="I35" s="70" t="n">
        <v>4405.21</v>
      </c>
      <c r="J35" s="70" t="n">
        <v>4352.88</v>
      </c>
      <c r="K35" s="70" t="n">
        <v>4460.84</v>
      </c>
      <c r="L35" s="70" t="n">
        <v>4419.23</v>
      </c>
      <c r="M35" s="70" t="n">
        <v>4482.46</v>
      </c>
      <c r="N35" s="70" t="n">
        <v>4526.46</v>
      </c>
      <c r="O35" s="70" t="n">
        <v>3790.24</v>
      </c>
      <c r="P35" s="28">
        <f>SUM(D35:O35)</f>
        <v/>
      </c>
    </row>
    <row r="36">
      <c r="A36" s="68">
        <f>Stammdaten!A36</f>
        <v/>
      </c>
      <c r="B36" s="69">
        <f>Stammdaten!B36</f>
        <v/>
      </c>
      <c r="C36" s="69">
        <f>Stammdaten!C36</f>
        <v/>
      </c>
      <c r="D36" s="70" t="n">
        <v>3342.49</v>
      </c>
      <c r="E36" s="70" t="n">
        <v>3452.11</v>
      </c>
      <c r="F36" s="70" t="n">
        <v>3168.85</v>
      </c>
      <c r="G36" s="70" t="n">
        <v>3343.64</v>
      </c>
      <c r="H36" s="70" t="n">
        <v>3272.76</v>
      </c>
      <c r="I36" s="70" t="n">
        <v>3248.81</v>
      </c>
      <c r="J36" s="70" t="n">
        <v>3043.61</v>
      </c>
      <c r="K36" s="70" t="n">
        <v>3174.3</v>
      </c>
      <c r="L36" s="70" t="n">
        <v>3492.32</v>
      </c>
      <c r="M36" s="70" t="n">
        <v>3335.83</v>
      </c>
      <c r="N36" s="70" t="n">
        <v>3382.48</v>
      </c>
      <c r="O36" s="70" t="n">
        <v>3294.58</v>
      </c>
      <c r="P36" s="28">
        <f>SUM(D36:O36)</f>
        <v/>
      </c>
    </row>
    <row r="37">
      <c r="A37" s="68">
        <f>Stammdaten!A37</f>
        <v/>
      </c>
      <c r="B37" s="69">
        <f>Stammdaten!B37</f>
        <v/>
      </c>
      <c r="C37" s="69">
        <f>Stammdaten!C37</f>
        <v/>
      </c>
      <c r="D37" s="70" t="n">
        <v>3322.31</v>
      </c>
      <c r="E37" s="70" t="n">
        <v>3598.89</v>
      </c>
      <c r="F37" s="70" t="n">
        <v>3632.82</v>
      </c>
      <c r="G37" s="70" t="n">
        <v>3473.17</v>
      </c>
      <c r="H37" s="70" t="n">
        <v>3338.16</v>
      </c>
      <c r="I37" s="70" t="n">
        <v>3233.09</v>
      </c>
      <c r="J37" s="70" t="n">
        <v>3137.48</v>
      </c>
      <c r="K37" s="70" t="n">
        <v>3266.72</v>
      </c>
      <c r="L37" s="70" t="n">
        <v>3590.63</v>
      </c>
      <c r="M37" s="70" t="n">
        <v>3291.64</v>
      </c>
      <c r="N37" s="70" t="n">
        <v>3347.28</v>
      </c>
      <c r="O37" s="70" t="n">
        <v>3105.77</v>
      </c>
      <c r="P37" s="28">
        <f>SUM(D37:O37)</f>
        <v/>
      </c>
    </row>
    <row r="38">
      <c r="A38" s="68">
        <f>Stammdaten!A38</f>
        <v/>
      </c>
      <c r="B38" s="69">
        <f>Stammdaten!B38</f>
        <v/>
      </c>
      <c r="C38" s="69">
        <f>Stammdaten!C38</f>
        <v/>
      </c>
      <c r="D38" s="70" t="n">
        <v>6502.65</v>
      </c>
      <c r="E38" s="70" t="n">
        <v>6297.22</v>
      </c>
      <c r="F38" s="70" t="n">
        <v>6263.25</v>
      </c>
      <c r="G38" s="70" t="n">
        <v>6097.18</v>
      </c>
      <c r="H38" s="70" t="n">
        <v>6376.38</v>
      </c>
      <c r="I38" s="70" t="n">
        <v>6317.15</v>
      </c>
      <c r="J38" s="70" t="n">
        <v>6008.64</v>
      </c>
      <c r="K38" s="70" t="n">
        <v>6177.24</v>
      </c>
      <c r="L38" s="70" t="n">
        <v>6751.19</v>
      </c>
      <c r="M38" s="70" t="n">
        <v>6311.29</v>
      </c>
      <c r="N38" s="70" t="n">
        <v>6382.43</v>
      </c>
      <c r="O38" s="70" t="n">
        <v>5835.03</v>
      </c>
      <c r="P38" s="28">
        <f>SUM(D38:O38)</f>
        <v/>
      </c>
    </row>
    <row r="39">
      <c r="A39" s="71">
        <f>Stammdaten!A39</f>
        <v/>
      </c>
      <c r="B39" s="72">
        <f>Stammdaten!B39</f>
        <v/>
      </c>
      <c r="C39" s="72">
        <f>Stammdaten!C39</f>
        <v/>
      </c>
      <c r="D39" s="70" t="n">
        <v>4439.08</v>
      </c>
      <c r="E39" s="70" t="n">
        <v>4416.29</v>
      </c>
      <c r="F39" s="70" t="n">
        <v>4216.11</v>
      </c>
      <c r="G39" s="70" t="n">
        <v>4393.02</v>
      </c>
      <c r="H39" s="70" t="n">
        <v>4241.74</v>
      </c>
      <c r="I39" s="70" t="n">
        <v>4438.08</v>
      </c>
      <c r="J39" s="70" t="n">
        <v>4093.42</v>
      </c>
      <c r="K39" s="70" t="n">
        <v>4300.66</v>
      </c>
      <c r="L39" s="70" t="n">
        <v>4365.28</v>
      </c>
      <c r="M39" s="70" t="n">
        <v>4241.86</v>
      </c>
      <c r="N39" s="70" t="n">
        <v>4235.44</v>
      </c>
      <c r="O39" s="70" t="n">
        <v>4203.22</v>
      </c>
      <c r="P39" s="28">
        <f>SUM(D39:O39)</f>
        <v/>
      </c>
    </row>
    <row r="40">
      <c r="A40" s="71">
        <f>Stammdaten!A40</f>
        <v/>
      </c>
      <c r="B40" s="72">
        <f>Stammdaten!B40</f>
        <v/>
      </c>
      <c r="C40" s="72">
        <f>Stammdaten!C40</f>
        <v/>
      </c>
      <c r="D40" s="70" t="n">
        <v>3924</v>
      </c>
      <c r="E40" s="70" t="n">
        <v>3941.04</v>
      </c>
      <c r="F40" s="70" t="n">
        <v>3930.37</v>
      </c>
      <c r="G40" s="70" t="n">
        <v>3816.18</v>
      </c>
      <c r="H40" s="70" t="n">
        <v>4047.06</v>
      </c>
      <c r="I40" s="70" t="n">
        <v>4099.01</v>
      </c>
      <c r="J40" s="70" t="n">
        <v>3651.57</v>
      </c>
      <c r="K40" s="70" t="n">
        <v>3761.21</v>
      </c>
      <c r="L40" s="70" t="n">
        <v>3822.45</v>
      </c>
      <c r="M40" s="70" t="n">
        <v>3722.17</v>
      </c>
      <c r="N40" s="70" t="n">
        <v>4233.19</v>
      </c>
      <c r="O40" s="70" t="n">
        <v>3826.18</v>
      </c>
      <c r="P40" s="28">
        <f>SUM(D40:O40)</f>
        <v/>
      </c>
    </row>
    <row r="41">
      <c r="A41" s="71">
        <f>Stammdaten!A41</f>
        <v/>
      </c>
      <c r="B41" s="72">
        <f>Stammdaten!B41</f>
        <v/>
      </c>
      <c r="C41" s="72">
        <f>Stammdaten!C41</f>
        <v/>
      </c>
      <c r="D41" s="70" t="n">
        <v>4342.81</v>
      </c>
      <c r="E41" s="70" t="n">
        <v>4767.62</v>
      </c>
      <c r="F41" s="70" t="n">
        <v>4729.9</v>
      </c>
      <c r="G41" s="70" t="n">
        <v>4374.7</v>
      </c>
      <c r="H41" s="70" t="n">
        <v>4475.61</v>
      </c>
      <c r="I41" s="70" t="n">
        <v>4464.69</v>
      </c>
      <c r="J41" s="70" t="n">
        <v>4176.33</v>
      </c>
      <c r="K41" s="70" t="n">
        <v>4576.8</v>
      </c>
      <c r="L41" s="70" t="n">
        <v>4254.35</v>
      </c>
      <c r="M41" s="70" t="n">
        <v>4352.86</v>
      </c>
      <c r="N41" s="70" t="n">
        <v>4489.99</v>
      </c>
      <c r="O41" s="70" t="n">
        <v>3772.82</v>
      </c>
      <c r="P41" s="28">
        <f>SUM(D41:O41)</f>
        <v/>
      </c>
    </row>
    <row r="42">
      <c r="A42" s="71">
        <f>Stammdaten!A42</f>
        <v/>
      </c>
      <c r="B42" s="72">
        <f>Stammdaten!B42</f>
        <v/>
      </c>
      <c r="C42" s="72">
        <f>Stammdaten!C42</f>
        <v/>
      </c>
      <c r="D42" s="70" t="n">
        <v>3105.59</v>
      </c>
      <c r="E42" s="70" t="n">
        <v>3226.68</v>
      </c>
      <c r="F42" s="70" t="n">
        <v>3058.37</v>
      </c>
      <c r="G42" s="70" t="n">
        <v>2969.92</v>
      </c>
      <c r="H42" s="70" t="n">
        <v>3257.24</v>
      </c>
      <c r="I42" s="70" t="n">
        <v>2995.15</v>
      </c>
      <c r="J42" s="70" t="n">
        <v>2750.78</v>
      </c>
      <c r="K42" s="70" t="n">
        <v>3024.64</v>
      </c>
      <c r="L42" s="70" t="n">
        <v>3197.58</v>
      </c>
      <c r="M42" s="70" t="n">
        <v>3093.37</v>
      </c>
      <c r="N42" s="70" t="n">
        <v>3098.77</v>
      </c>
      <c r="O42" s="70" t="n">
        <v>2756.91</v>
      </c>
      <c r="P42" s="28">
        <f>SUM(D42:O42)</f>
        <v/>
      </c>
    </row>
    <row r="43">
      <c r="A43" s="71">
        <f>Stammdaten!A43</f>
        <v/>
      </c>
      <c r="B43" s="72">
        <f>Stammdaten!B43</f>
        <v/>
      </c>
      <c r="C43" s="72">
        <f>Stammdaten!C43</f>
        <v/>
      </c>
      <c r="D43" s="70" t="n">
        <v>4304.95</v>
      </c>
      <c r="E43" s="70" t="n">
        <v>4320.94</v>
      </c>
      <c r="F43" s="70" t="n">
        <v>4069.54</v>
      </c>
      <c r="G43" s="70" t="n">
        <v>4129.63</v>
      </c>
      <c r="H43" s="70" t="n">
        <v>4347.62</v>
      </c>
      <c r="I43" s="70" t="n">
        <v>4487.73</v>
      </c>
      <c r="J43" s="70" t="n">
        <v>3925.72</v>
      </c>
      <c r="K43" s="70" t="n">
        <v>4510.73</v>
      </c>
      <c r="L43" s="70" t="n">
        <v>4068.01</v>
      </c>
      <c r="M43" s="70" t="n">
        <v>4303.97</v>
      </c>
      <c r="N43" s="70" t="n">
        <v>4473.47</v>
      </c>
      <c r="O43" s="70" t="n">
        <v>3894.82</v>
      </c>
      <c r="P43" s="28">
        <f>SUM(D43:O43)</f>
        <v/>
      </c>
    </row>
    <row r="44">
      <c r="A44" s="71">
        <f>Stammdaten!A44</f>
        <v/>
      </c>
      <c r="B44" s="72">
        <f>Stammdaten!B44</f>
        <v/>
      </c>
      <c r="C44" s="72">
        <f>Stammdaten!C44</f>
        <v/>
      </c>
      <c r="D44" s="70" t="n">
        <v>3243.6</v>
      </c>
      <c r="E44" s="70" t="n">
        <v>3186.7</v>
      </c>
      <c r="F44" s="70" t="n">
        <v>3305.37</v>
      </c>
      <c r="G44" s="70" t="n">
        <v>3350.4</v>
      </c>
      <c r="H44" s="70" t="n">
        <v>3394.11</v>
      </c>
      <c r="I44" s="70" t="n">
        <v>3298.79</v>
      </c>
      <c r="J44" s="70" t="n">
        <v>3146.86</v>
      </c>
      <c r="K44" s="70" t="n">
        <v>3403.9</v>
      </c>
      <c r="L44" s="70" t="n">
        <v>3299.7</v>
      </c>
      <c r="M44" s="70" t="n">
        <v>3416.32</v>
      </c>
      <c r="N44" s="70" t="n">
        <v>3402.93</v>
      </c>
      <c r="O44" s="70" t="n">
        <v>2979.38</v>
      </c>
      <c r="P44" s="28">
        <f>SUM(D44:O44)</f>
        <v/>
      </c>
    </row>
    <row r="45">
      <c r="A45" s="71">
        <f>Stammdaten!A45</f>
        <v/>
      </c>
      <c r="B45" s="72">
        <f>Stammdaten!B45</f>
        <v/>
      </c>
      <c r="C45" s="72">
        <f>Stammdaten!C45</f>
        <v/>
      </c>
      <c r="D45" s="70" t="n">
        <v>3788.04</v>
      </c>
      <c r="E45" s="70" t="n">
        <v>3677.39</v>
      </c>
      <c r="F45" s="70" t="n">
        <v>3555.39</v>
      </c>
      <c r="G45" s="70" t="n">
        <v>3691.65</v>
      </c>
      <c r="H45" s="70" t="n">
        <v>3580.93</v>
      </c>
      <c r="I45" s="70" t="n">
        <v>3598.15</v>
      </c>
      <c r="J45" s="70" t="n">
        <v>3343.72</v>
      </c>
      <c r="K45" s="70" t="n">
        <v>3561.15</v>
      </c>
      <c r="L45" s="70" t="n">
        <v>3526.14</v>
      </c>
      <c r="M45" s="70" t="n">
        <v>3530.84</v>
      </c>
      <c r="N45" s="70" t="n">
        <v>3675.94</v>
      </c>
      <c r="O45" s="70" t="n">
        <v>3161.28</v>
      </c>
      <c r="P45" s="28">
        <f>SUM(D45:O45)</f>
        <v/>
      </c>
    </row>
    <row r="46">
      <c r="A46" s="71">
        <f>Stammdaten!A46</f>
        <v/>
      </c>
      <c r="B46" s="72">
        <f>Stammdaten!B46</f>
        <v/>
      </c>
      <c r="C46" s="72">
        <f>Stammdaten!C46</f>
        <v/>
      </c>
      <c r="D46" s="70" t="n">
        <v>3157.32</v>
      </c>
      <c r="E46" s="70" t="n">
        <v>3106.44</v>
      </c>
      <c r="F46" s="70" t="n">
        <v>3013.34</v>
      </c>
      <c r="G46" s="70" t="n">
        <v>2999.23</v>
      </c>
      <c r="H46" s="70" t="n">
        <v>3179.66</v>
      </c>
      <c r="I46" s="70" t="n">
        <v>3144.15</v>
      </c>
      <c r="J46" s="70" t="n">
        <v>2983.19</v>
      </c>
      <c r="K46" s="70" t="n">
        <v>3249.6</v>
      </c>
      <c r="L46" s="70" t="n">
        <v>3247.11</v>
      </c>
      <c r="M46" s="70" t="n">
        <v>3041.68</v>
      </c>
      <c r="N46" s="70" t="n">
        <v>3080.13</v>
      </c>
      <c r="O46" s="70" t="n">
        <v>2899.38</v>
      </c>
      <c r="P46" s="28">
        <f>SUM(D46:O46)</f>
        <v/>
      </c>
    </row>
    <row r="47">
      <c r="A47" s="71">
        <f>Stammdaten!A47</f>
        <v/>
      </c>
      <c r="B47" s="72">
        <f>Stammdaten!B47</f>
        <v/>
      </c>
      <c r="C47" s="72">
        <f>Stammdaten!C47</f>
        <v/>
      </c>
      <c r="D47" s="70" t="n">
        <v>6923.93</v>
      </c>
      <c r="E47" s="70" t="n">
        <v>6851.15</v>
      </c>
      <c r="F47" s="70" t="n">
        <v>7160.96</v>
      </c>
      <c r="G47" s="70" t="n">
        <v>6738.4</v>
      </c>
      <c r="H47" s="70" t="n">
        <v>6938.91</v>
      </c>
      <c r="I47" s="70" t="n">
        <v>6440.95</v>
      </c>
      <c r="J47" s="70" t="n">
        <v>6451.86</v>
      </c>
      <c r="K47" s="70" t="n">
        <v>6853.91</v>
      </c>
      <c r="L47" s="70" t="n">
        <v>7014.99</v>
      </c>
      <c r="M47" s="70" t="n">
        <v>6593.66</v>
      </c>
      <c r="N47" s="70" t="n">
        <v>6819.94</v>
      </c>
      <c r="O47" s="70" t="n">
        <v>6252.57</v>
      </c>
      <c r="P47" s="28">
        <f>SUM(D47:O47)</f>
        <v/>
      </c>
    </row>
    <row r="48">
      <c r="A48" s="71">
        <f>Stammdaten!A48</f>
        <v/>
      </c>
      <c r="B48" s="72">
        <f>Stammdaten!B48</f>
        <v/>
      </c>
      <c r="C48" s="72">
        <f>Stammdaten!C48</f>
        <v/>
      </c>
      <c r="D48" s="70" t="n">
        <v>5766.04</v>
      </c>
      <c r="E48" s="70" t="n">
        <v>5687.51</v>
      </c>
      <c r="F48" s="70" t="n">
        <v>5836.78</v>
      </c>
      <c r="G48" s="70" t="n">
        <v>5696.68</v>
      </c>
      <c r="H48" s="70" t="n">
        <v>5589.73</v>
      </c>
      <c r="I48" s="70" t="n">
        <v>6044.19</v>
      </c>
      <c r="J48" s="70" t="n">
        <v>5294.64</v>
      </c>
      <c r="K48" s="70" t="n">
        <v>5681.95</v>
      </c>
      <c r="L48" s="70" t="n">
        <v>5747.64</v>
      </c>
      <c r="M48" s="70" t="n">
        <v>5744.22</v>
      </c>
      <c r="N48" s="70" t="n">
        <v>5625.12</v>
      </c>
      <c r="O48" s="70" t="n">
        <v>5253.64</v>
      </c>
      <c r="P48" s="28">
        <f>SUM(D48:O48)</f>
        <v/>
      </c>
    </row>
    <row r="49">
      <c r="A49" s="68">
        <f>Stammdaten!A49</f>
        <v/>
      </c>
      <c r="B49" s="69">
        <f>Stammdaten!B49</f>
        <v/>
      </c>
      <c r="C49" s="69">
        <f>Stammdaten!C49</f>
        <v/>
      </c>
      <c r="D49" s="70" t="n">
        <v>4689.17</v>
      </c>
      <c r="E49" s="70" t="n">
        <v>4715.17</v>
      </c>
      <c r="F49" s="70" t="n">
        <v>4378.22</v>
      </c>
      <c r="G49" s="70" t="n">
        <v>4696.56</v>
      </c>
      <c r="H49" s="70" t="n">
        <v>4653.65</v>
      </c>
      <c r="I49" s="70" t="n">
        <v>4530.34</v>
      </c>
      <c r="J49" s="70" t="n">
        <v>4529.02</v>
      </c>
      <c r="K49" s="70" t="n">
        <v>4735.21</v>
      </c>
      <c r="L49" s="70" t="n">
        <v>4622.26</v>
      </c>
      <c r="M49" s="70" t="n">
        <v>4643.16</v>
      </c>
      <c r="N49" s="70" t="n">
        <v>4486.43</v>
      </c>
      <c r="O49" s="70" t="n">
        <v>4283.44</v>
      </c>
      <c r="P49" s="28">
        <f>SUM(D49:O49)</f>
        <v/>
      </c>
    </row>
    <row r="50">
      <c r="A50" s="68">
        <f>Stammdaten!A50</f>
        <v/>
      </c>
      <c r="B50" s="69">
        <f>Stammdaten!B50</f>
        <v/>
      </c>
      <c r="C50" s="69">
        <f>Stammdaten!C50</f>
        <v/>
      </c>
      <c r="D50" s="70" t="n">
        <v>5430.8</v>
      </c>
      <c r="E50" s="70" t="n">
        <v>5503.9</v>
      </c>
      <c r="F50" s="70" t="n">
        <v>5565.9</v>
      </c>
      <c r="G50" s="70" t="n">
        <v>5637.79</v>
      </c>
      <c r="H50" s="70" t="n">
        <v>5112.16</v>
      </c>
      <c r="I50" s="70" t="n">
        <v>5446.85</v>
      </c>
      <c r="J50" s="70" t="n">
        <v>5020.42</v>
      </c>
      <c r="K50" s="70" t="n">
        <v>5140.64</v>
      </c>
      <c r="L50" s="70" t="n">
        <v>5118.33</v>
      </c>
      <c r="M50" s="70" t="n">
        <v>5227.24</v>
      </c>
      <c r="N50" s="70" t="n">
        <v>5578.09</v>
      </c>
      <c r="O50" s="70" t="n">
        <v>5013.55</v>
      </c>
      <c r="P50" s="28">
        <f>SUM(D50:O50)</f>
        <v/>
      </c>
    </row>
    <row r="51">
      <c r="A51" s="68">
        <f>Stammdaten!A51</f>
        <v/>
      </c>
      <c r="B51" s="69">
        <f>Stammdaten!B51</f>
        <v/>
      </c>
      <c r="C51" s="69">
        <f>Stammdaten!C51</f>
        <v/>
      </c>
      <c r="D51" s="70" t="n">
        <v>3000.3</v>
      </c>
      <c r="E51" s="70" t="n">
        <v>3235.6</v>
      </c>
      <c r="F51" s="70" t="n">
        <v>3119.53</v>
      </c>
      <c r="G51" s="70" t="n">
        <v>3145.95</v>
      </c>
      <c r="H51" s="70" t="n">
        <v>2948.78</v>
      </c>
      <c r="I51" s="70" t="n">
        <v>3282.4</v>
      </c>
      <c r="J51" s="70" t="n">
        <v>2672.49</v>
      </c>
      <c r="K51" s="70" t="n">
        <v>3182.95</v>
      </c>
      <c r="L51" s="70" t="n">
        <v>3067.78</v>
      </c>
      <c r="M51" s="70" t="n">
        <v>3219.82</v>
      </c>
      <c r="N51" s="70" t="n">
        <v>3194.63</v>
      </c>
      <c r="O51" s="70" t="n">
        <v>2832.06</v>
      </c>
      <c r="P51" s="28">
        <f>SUM(D51:O51)</f>
        <v/>
      </c>
    </row>
    <row r="52">
      <c r="A52" s="68">
        <f>Stammdaten!A52</f>
        <v/>
      </c>
      <c r="B52" s="69">
        <f>Stammdaten!B52</f>
        <v/>
      </c>
      <c r="C52" s="69">
        <f>Stammdaten!C52</f>
        <v/>
      </c>
      <c r="D52" s="70" t="n">
        <v>2571.48</v>
      </c>
      <c r="E52" s="70" t="n">
        <v>2553.21</v>
      </c>
      <c r="F52" s="70" t="n">
        <v>2635.82</v>
      </c>
      <c r="G52" s="70" t="n">
        <v>2751.2</v>
      </c>
      <c r="H52" s="70" t="n">
        <v>2442.15</v>
      </c>
      <c r="I52" s="70" t="n">
        <v>2589.9</v>
      </c>
      <c r="J52" s="70" t="n">
        <v>2435</v>
      </c>
      <c r="K52" s="70" t="n">
        <v>2462.18</v>
      </c>
      <c r="L52" s="70" t="n">
        <v>2632.92</v>
      </c>
      <c r="M52" s="70" t="n">
        <v>2575.42</v>
      </c>
      <c r="N52" s="70" t="n">
        <v>2641.99</v>
      </c>
      <c r="O52" s="70" t="n">
        <v>2505.02</v>
      </c>
      <c r="P52" s="28">
        <f>SUM(D52:O52)</f>
        <v/>
      </c>
    </row>
    <row r="53">
      <c r="A53" s="68">
        <f>Stammdaten!A53</f>
        <v/>
      </c>
      <c r="B53" s="69">
        <f>Stammdaten!B53</f>
        <v/>
      </c>
      <c r="C53" s="69">
        <f>Stammdaten!C53</f>
        <v/>
      </c>
      <c r="D53" s="70" t="n">
        <v>3992.94</v>
      </c>
      <c r="E53" s="70" t="n">
        <v>3720.95</v>
      </c>
      <c r="F53" s="70" t="n">
        <v>3675.61</v>
      </c>
      <c r="G53" s="70" t="n">
        <v>3828.77</v>
      </c>
      <c r="H53" s="70" t="n">
        <v>3672.84</v>
      </c>
      <c r="I53" s="70" t="n">
        <v>3636.56</v>
      </c>
      <c r="J53" s="70" t="n">
        <v>3345.17</v>
      </c>
      <c r="K53" s="70" t="n">
        <v>3795.77</v>
      </c>
      <c r="L53" s="70" t="n">
        <v>3654.03</v>
      </c>
      <c r="M53" s="70" t="n">
        <v>3640.2</v>
      </c>
      <c r="N53" s="70" t="n">
        <v>3579.89</v>
      </c>
      <c r="O53" s="70" t="n">
        <v>3438.14</v>
      </c>
      <c r="P53" s="28">
        <f>SUM(D53:O53)</f>
        <v/>
      </c>
    </row>
    <row r="54">
      <c r="A54" s="68">
        <f>Stammdaten!A54</f>
        <v/>
      </c>
      <c r="B54" s="69">
        <f>Stammdaten!B54</f>
        <v/>
      </c>
      <c r="C54" s="69">
        <f>Stammdaten!C54</f>
        <v/>
      </c>
      <c r="D54" s="70" t="n">
        <v>2487.52</v>
      </c>
      <c r="E54" s="70" t="n">
        <v>2416.52</v>
      </c>
      <c r="F54" s="70" t="n">
        <v>2397.63</v>
      </c>
      <c r="G54" s="70" t="n">
        <v>2477.56</v>
      </c>
      <c r="H54" s="70" t="n">
        <v>2493.65</v>
      </c>
      <c r="I54" s="70" t="n">
        <v>2490.87</v>
      </c>
      <c r="J54" s="70" t="n">
        <v>2098.97</v>
      </c>
      <c r="K54" s="70" t="n">
        <v>2550</v>
      </c>
      <c r="L54" s="70" t="n">
        <v>2387.52</v>
      </c>
      <c r="M54" s="70" t="n">
        <v>2555.91</v>
      </c>
      <c r="N54" s="70" t="n">
        <v>2539.84</v>
      </c>
      <c r="O54" s="70" t="n">
        <v>2267.79</v>
      </c>
      <c r="P54" s="28">
        <f>SUM(D54:O54)</f>
        <v/>
      </c>
    </row>
    <row r="55">
      <c r="A55" s="68">
        <f>Stammdaten!A55</f>
        <v/>
      </c>
      <c r="B55" s="69">
        <f>Stammdaten!B55</f>
        <v/>
      </c>
      <c r="C55" s="69">
        <f>Stammdaten!C55</f>
        <v/>
      </c>
      <c r="D55" s="70" t="n">
        <v>4445.12</v>
      </c>
      <c r="E55" s="70" t="n">
        <v>4241.11</v>
      </c>
      <c r="F55" s="70" t="n">
        <v>4301.55</v>
      </c>
      <c r="G55" s="70" t="n">
        <v>4396.22</v>
      </c>
      <c r="H55" s="70" t="n">
        <v>4457.62</v>
      </c>
      <c r="I55" s="70" t="n">
        <v>4476.19</v>
      </c>
      <c r="J55" s="70" t="n">
        <v>4162.45</v>
      </c>
      <c r="K55" s="70" t="n">
        <v>4224.44</v>
      </c>
      <c r="L55" s="70" t="n">
        <v>4325.2</v>
      </c>
      <c r="M55" s="70" t="n">
        <v>4340.75</v>
      </c>
      <c r="N55" s="70" t="n">
        <v>4443.97</v>
      </c>
      <c r="O55" s="70" t="n">
        <v>3956.42</v>
      </c>
      <c r="P55" s="28">
        <f>SUM(D55:O55)</f>
        <v/>
      </c>
    </row>
    <row r="56">
      <c r="A56" s="68">
        <f>Stammdaten!A56</f>
        <v/>
      </c>
      <c r="B56" s="69">
        <f>Stammdaten!B56</f>
        <v/>
      </c>
      <c r="C56" s="69">
        <f>Stammdaten!C56</f>
        <v/>
      </c>
      <c r="D56" s="70" t="n">
        <v>2773.02</v>
      </c>
      <c r="E56" s="70" t="n">
        <v>2687.24</v>
      </c>
      <c r="F56" s="70" t="n">
        <v>2716.71</v>
      </c>
      <c r="G56" s="70" t="n">
        <v>2727.78</v>
      </c>
      <c r="H56" s="70" t="n">
        <v>2705.46</v>
      </c>
      <c r="I56" s="70" t="n">
        <v>2599.85</v>
      </c>
      <c r="J56" s="70" t="n">
        <v>2499.22</v>
      </c>
      <c r="K56" s="70" t="n">
        <v>2792.08</v>
      </c>
      <c r="L56" s="70" t="n">
        <v>2677.29</v>
      </c>
      <c r="M56" s="70" t="n">
        <v>2667.44</v>
      </c>
      <c r="N56" s="70" t="n">
        <v>2494.79</v>
      </c>
      <c r="O56" s="70" t="n">
        <v>2324.96</v>
      </c>
      <c r="P56" s="28">
        <f>SUM(D56:O56)</f>
        <v/>
      </c>
    </row>
    <row r="57">
      <c r="A57" s="68">
        <f>Stammdaten!A57</f>
        <v/>
      </c>
      <c r="B57" s="69">
        <f>Stammdaten!B57</f>
        <v/>
      </c>
      <c r="C57" s="69">
        <f>Stammdaten!C57</f>
        <v/>
      </c>
      <c r="D57" s="70" t="n">
        <v>2559.65</v>
      </c>
      <c r="E57" s="70" t="n">
        <v>2573.24</v>
      </c>
      <c r="F57" s="70" t="n">
        <v>2353.12</v>
      </c>
      <c r="G57" s="70" t="n">
        <v>2352.84</v>
      </c>
      <c r="H57" s="70" t="n">
        <v>2509.35</v>
      </c>
      <c r="I57" s="70" t="n">
        <v>2407.78</v>
      </c>
      <c r="J57" s="70" t="n">
        <v>2347.18</v>
      </c>
      <c r="K57" s="70" t="n">
        <v>2453.21</v>
      </c>
      <c r="L57" s="70" t="n">
        <v>2415.27</v>
      </c>
      <c r="M57" s="70" t="n">
        <v>2437.84</v>
      </c>
      <c r="N57" s="70" t="n">
        <v>2472.06</v>
      </c>
      <c r="O57" s="70" t="n">
        <v>2189.91</v>
      </c>
      <c r="P57" s="28">
        <f>SUM(D57:O57)</f>
        <v/>
      </c>
    </row>
    <row r="58">
      <c r="A58" s="68">
        <f>Stammdaten!A58</f>
        <v/>
      </c>
      <c r="B58" s="69">
        <f>Stammdaten!B58</f>
        <v/>
      </c>
      <c r="C58" s="69">
        <f>Stammdaten!C58</f>
        <v/>
      </c>
      <c r="D58" s="70" t="n">
        <v>2761.91</v>
      </c>
      <c r="E58" s="70" t="n">
        <v>2915.64</v>
      </c>
      <c r="F58" s="70" t="n">
        <v>2630.44</v>
      </c>
      <c r="G58" s="70" t="n">
        <v>2728.85</v>
      </c>
      <c r="H58" s="70" t="n">
        <v>2837.19</v>
      </c>
      <c r="I58" s="70" t="n">
        <v>2724.53</v>
      </c>
      <c r="J58" s="70" t="n">
        <v>2608.34</v>
      </c>
      <c r="K58" s="70" t="n">
        <v>2960.32</v>
      </c>
      <c r="L58" s="70" t="n">
        <v>2813.59</v>
      </c>
      <c r="M58" s="70" t="n">
        <v>2901.48</v>
      </c>
      <c r="N58" s="70" t="n">
        <v>2736.02</v>
      </c>
      <c r="O58" s="70" t="n">
        <v>2658.32</v>
      </c>
      <c r="P58" s="28">
        <f>SUM(D58:O58)</f>
        <v/>
      </c>
    </row>
    <row r="59">
      <c r="A59" s="71">
        <f>Stammdaten!A59</f>
        <v/>
      </c>
      <c r="B59" s="72">
        <f>Stammdaten!B59</f>
        <v/>
      </c>
      <c r="C59" s="72">
        <f>Stammdaten!C59</f>
        <v/>
      </c>
      <c r="D59" s="70" t="n">
        <v>3195.96</v>
      </c>
      <c r="E59" s="70" t="n">
        <v>3045.41</v>
      </c>
      <c r="F59" s="70" t="n">
        <v>3372.73</v>
      </c>
      <c r="G59" s="70" t="n">
        <v>3283.51</v>
      </c>
      <c r="H59" s="70" t="n">
        <v>3240.25</v>
      </c>
      <c r="I59" s="70" t="n">
        <v>3348.03</v>
      </c>
      <c r="J59" s="70" t="n">
        <v>2951.85</v>
      </c>
      <c r="K59" s="70" t="n">
        <v>3333.71</v>
      </c>
      <c r="L59" s="70" t="n">
        <v>3138.59</v>
      </c>
      <c r="M59" s="70" t="n">
        <v>3074.01</v>
      </c>
      <c r="N59" s="70" t="n">
        <v>3037.54</v>
      </c>
      <c r="O59" s="70" t="n">
        <v>3008.82</v>
      </c>
      <c r="P59" s="28">
        <f>SUM(D59:O59)</f>
        <v/>
      </c>
    </row>
    <row r="60">
      <c r="A60" s="71">
        <f>Stammdaten!A60</f>
        <v/>
      </c>
      <c r="B60" s="72">
        <f>Stammdaten!B60</f>
        <v/>
      </c>
      <c r="C60" s="72">
        <f>Stammdaten!C60</f>
        <v/>
      </c>
      <c r="D60" s="70" t="n">
        <v>4899.96</v>
      </c>
      <c r="E60" s="70" t="n">
        <v>4695.68</v>
      </c>
      <c r="F60" s="70" t="n">
        <v>4637.85</v>
      </c>
      <c r="G60" s="70" t="n">
        <v>4791.65</v>
      </c>
      <c r="H60" s="70" t="n">
        <v>4842</v>
      </c>
      <c r="I60" s="70" t="n">
        <v>4547.05</v>
      </c>
      <c r="J60" s="70" t="n">
        <v>4267.35</v>
      </c>
      <c r="K60" s="70" t="n">
        <v>4610.95</v>
      </c>
      <c r="L60" s="70" t="n">
        <v>4600.59</v>
      </c>
      <c r="M60" s="70" t="n">
        <v>4966.16</v>
      </c>
      <c r="N60" s="70" t="n">
        <v>4771.4</v>
      </c>
      <c r="O60" s="70" t="n">
        <v>4116.87</v>
      </c>
      <c r="P60" s="28">
        <f>SUM(D60:O60)</f>
        <v/>
      </c>
    </row>
    <row r="61">
      <c r="A61" s="71">
        <f>Stammdaten!A61</f>
        <v/>
      </c>
      <c r="B61" s="72">
        <f>Stammdaten!B61</f>
        <v/>
      </c>
      <c r="C61" s="72">
        <f>Stammdaten!C61</f>
        <v/>
      </c>
      <c r="D61" s="70" t="n">
        <v>4224.05</v>
      </c>
      <c r="E61" s="70" t="n">
        <v>4390.29</v>
      </c>
      <c r="F61" s="70" t="n">
        <v>3969.14</v>
      </c>
      <c r="G61" s="70" t="n">
        <v>4346.87</v>
      </c>
      <c r="H61" s="70" t="n">
        <v>4341.78</v>
      </c>
      <c r="I61" s="70" t="n">
        <v>4085.26</v>
      </c>
      <c r="J61" s="70" t="n">
        <v>3716.51</v>
      </c>
      <c r="K61" s="70" t="n">
        <v>3988.02</v>
      </c>
      <c r="L61" s="70" t="n">
        <v>3987.8</v>
      </c>
      <c r="M61" s="70" t="n">
        <v>4181.31</v>
      </c>
      <c r="N61" s="70" t="n">
        <v>4251.11</v>
      </c>
      <c r="O61" s="70" t="n">
        <v>3940.64</v>
      </c>
      <c r="P61" s="28">
        <f>SUM(D61:O61)</f>
        <v/>
      </c>
    </row>
    <row r="62">
      <c r="A62" s="71">
        <f>Stammdaten!A62</f>
        <v/>
      </c>
      <c r="B62" s="72">
        <f>Stammdaten!B62</f>
        <v/>
      </c>
      <c r="C62" s="72">
        <f>Stammdaten!C62</f>
        <v/>
      </c>
      <c r="D62" s="70" t="n">
        <v>4050.73</v>
      </c>
      <c r="E62" s="70" t="n">
        <v>4050.61</v>
      </c>
      <c r="F62" s="70" t="n">
        <v>3953.31</v>
      </c>
      <c r="G62" s="70" t="n">
        <v>4152.84</v>
      </c>
      <c r="H62" s="70" t="n">
        <v>3971.67</v>
      </c>
      <c r="I62" s="70" t="n">
        <v>4085.64</v>
      </c>
      <c r="J62" s="70" t="n">
        <v>3494.8</v>
      </c>
      <c r="K62" s="70" t="n">
        <v>3993.48</v>
      </c>
      <c r="L62" s="70" t="n">
        <v>4173.1</v>
      </c>
      <c r="M62" s="70" t="n">
        <v>4045.08</v>
      </c>
      <c r="N62" s="70" t="n">
        <v>3993.27</v>
      </c>
      <c r="O62" s="70" t="n">
        <v>3630.34</v>
      </c>
      <c r="P62" s="28">
        <f>SUM(D62:O62)</f>
        <v/>
      </c>
    </row>
    <row r="63">
      <c r="A63" s="71">
        <f>Stammdaten!A63</f>
        <v/>
      </c>
      <c r="B63" s="72">
        <f>Stammdaten!B63</f>
        <v/>
      </c>
      <c r="C63" s="72">
        <f>Stammdaten!C63</f>
        <v/>
      </c>
      <c r="D63" s="70" t="n">
        <v>5716.9</v>
      </c>
      <c r="E63" s="70" t="n">
        <v>5986.38</v>
      </c>
      <c r="F63" s="70" t="n">
        <v>6172.7</v>
      </c>
      <c r="G63" s="70" t="n">
        <v>5786.94</v>
      </c>
      <c r="H63" s="70" t="n">
        <v>6104.76</v>
      </c>
      <c r="I63" s="70" t="n">
        <v>5608.82</v>
      </c>
      <c r="J63" s="70" t="n">
        <v>4986.41</v>
      </c>
      <c r="K63" s="70" t="n">
        <v>5791.46</v>
      </c>
      <c r="L63" s="70" t="n">
        <v>5962.31</v>
      </c>
      <c r="M63" s="70" t="n">
        <v>6068.78</v>
      </c>
      <c r="N63" s="70" t="n">
        <v>6036.79</v>
      </c>
      <c r="O63" s="70" t="n">
        <v>5305.33</v>
      </c>
      <c r="P63" s="28">
        <f>SUM(D63:O63)</f>
        <v/>
      </c>
    </row>
    <row r="64">
      <c r="A64" s="71">
        <f>Stammdaten!A64</f>
        <v/>
      </c>
      <c r="B64" s="72">
        <f>Stammdaten!B64</f>
        <v/>
      </c>
      <c r="C64" s="72">
        <f>Stammdaten!C64</f>
        <v/>
      </c>
      <c r="D64" s="70" t="n">
        <v>4622.16</v>
      </c>
      <c r="E64" s="70" t="n">
        <v>4832.14</v>
      </c>
      <c r="F64" s="70" t="n">
        <v>4946.08</v>
      </c>
      <c r="G64" s="70" t="n">
        <v>4989</v>
      </c>
      <c r="H64" s="70" t="n">
        <v>5019.43</v>
      </c>
      <c r="I64" s="70" t="n">
        <v>4867.18</v>
      </c>
      <c r="J64" s="70" t="n">
        <v>4167.45</v>
      </c>
      <c r="K64" s="70" t="n">
        <v>4964.58</v>
      </c>
      <c r="L64" s="70" t="n">
        <v>4711.73</v>
      </c>
      <c r="M64" s="70" t="n">
        <v>4919.85</v>
      </c>
      <c r="N64" s="70" t="n">
        <v>4837.73</v>
      </c>
      <c r="O64" s="70" t="n">
        <v>4653.05</v>
      </c>
      <c r="P64" s="28">
        <f>SUM(D64:O64)</f>
        <v/>
      </c>
    </row>
    <row r="65">
      <c r="A65" s="71">
        <f>Stammdaten!A65</f>
        <v/>
      </c>
      <c r="B65" s="72">
        <f>Stammdaten!B65</f>
        <v/>
      </c>
      <c r="C65" s="72">
        <f>Stammdaten!C65</f>
        <v/>
      </c>
      <c r="D65" s="70" t="n">
        <v>7030.27</v>
      </c>
      <c r="E65" s="70" t="n">
        <v>6999.91</v>
      </c>
      <c r="F65" s="70" t="n">
        <v>6901.31</v>
      </c>
      <c r="G65" s="70" t="n">
        <v>6814.75</v>
      </c>
      <c r="H65" s="70" t="n">
        <v>6723.22</v>
      </c>
      <c r="I65" s="70" t="n">
        <v>6776.02</v>
      </c>
      <c r="J65" s="70" t="n">
        <v>5693.76</v>
      </c>
      <c r="K65" s="70" t="n">
        <v>7362.99</v>
      </c>
      <c r="L65" s="70" t="n">
        <v>7119.7</v>
      </c>
      <c r="M65" s="70" t="n">
        <v>6911.88</v>
      </c>
      <c r="N65" s="70" t="n">
        <v>6897.66</v>
      </c>
      <c r="O65" s="70" t="n">
        <v>6515.05</v>
      </c>
      <c r="P65" s="28">
        <f>SUM(D65:O65)</f>
        <v/>
      </c>
    </row>
    <row r="66">
      <c r="A66" s="71">
        <f>Stammdaten!A66</f>
        <v/>
      </c>
      <c r="B66" s="72">
        <f>Stammdaten!B66</f>
        <v/>
      </c>
      <c r="C66" s="72">
        <f>Stammdaten!C66</f>
        <v/>
      </c>
      <c r="D66" s="70" t="n">
        <v>4360.01</v>
      </c>
      <c r="E66" s="70" t="n">
        <v>4058.47</v>
      </c>
      <c r="F66" s="70" t="n">
        <v>4058.57</v>
      </c>
      <c r="G66" s="70" t="n">
        <v>4396.25</v>
      </c>
      <c r="H66" s="70" t="n">
        <v>4348.41</v>
      </c>
      <c r="I66" s="70" t="n">
        <v>4204.55</v>
      </c>
      <c r="J66" s="70" t="n">
        <v>3610.41</v>
      </c>
      <c r="K66" s="70" t="n">
        <v>4363.42</v>
      </c>
      <c r="L66" s="70" t="n">
        <v>4127.3</v>
      </c>
      <c r="M66" s="70" t="n">
        <v>4076.97</v>
      </c>
      <c r="N66" s="70" t="n">
        <v>4161.93</v>
      </c>
      <c r="O66" s="70" t="n">
        <v>3818.87</v>
      </c>
      <c r="P66" s="28">
        <f>SUM(D66:O66)</f>
        <v/>
      </c>
    </row>
    <row r="67">
      <c r="A67" s="71">
        <f>Stammdaten!A67</f>
        <v/>
      </c>
      <c r="B67" s="72">
        <f>Stammdaten!B67</f>
        <v/>
      </c>
      <c r="C67" s="72">
        <f>Stammdaten!C67</f>
        <v/>
      </c>
      <c r="D67" s="70" t="n">
        <v>4578.56</v>
      </c>
      <c r="E67" s="70" t="n">
        <v>4539.71</v>
      </c>
      <c r="F67" s="70" t="n">
        <v>4554.83</v>
      </c>
      <c r="G67" s="70" t="n">
        <v>4808.7</v>
      </c>
      <c r="H67" s="70" t="n">
        <v>4705.76</v>
      </c>
      <c r="I67" s="70" t="n">
        <v>4897.63</v>
      </c>
      <c r="J67" s="70" t="n">
        <v>4324.89</v>
      </c>
      <c r="K67" s="70" t="n">
        <v>4551.72</v>
      </c>
      <c r="L67" s="70" t="n">
        <v>4928.73</v>
      </c>
      <c r="M67" s="70" t="n">
        <v>5052.22</v>
      </c>
      <c r="N67" s="70" t="n">
        <v>4635.71</v>
      </c>
      <c r="O67" s="70" t="n">
        <v>4318.91</v>
      </c>
      <c r="P67" s="28">
        <f>SUM(D67:O67)</f>
        <v/>
      </c>
    </row>
    <row r="68">
      <c r="A68" s="71">
        <f>Stammdaten!A68</f>
        <v/>
      </c>
      <c r="B68" s="72">
        <f>Stammdaten!B68</f>
        <v/>
      </c>
      <c r="C68" s="72">
        <f>Stammdaten!C68</f>
        <v/>
      </c>
      <c r="D68" s="70" t="n">
        <v>3506.12</v>
      </c>
      <c r="E68" s="70" t="n">
        <v>3703.35</v>
      </c>
      <c r="F68" s="70" t="n">
        <v>3402.68</v>
      </c>
      <c r="G68" s="70" t="n">
        <v>3466.76</v>
      </c>
      <c r="H68" s="70" t="n">
        <v>3715.05</v>
      </c>
      <c r="I68" s="70" t="n">
        <v>3694.29</v>
      </c>
      <c r="J68" s="70" t="n">
        <v>3255.37</v>
      </c>
      <c r="K68" s="70" t="n">
        <v>3745.19</v>
      </c>
      <c r="L68" s="70" t="n">
        <v>3685.79</v>
      </c>
      <c r="M68" s="70" t="n">
        <v>3676.37</v>
      </c>
      <c r="N68" s="70" t="n">
        <v>3498.19</v>
      </c>
      <c r="O68" s="70" t="n">
        <v>3371.17</v>
      </c>
      <c r="P68" s="28">
        <f>SUM(D68:O68)</f>
        <v/>
      </c>
    </row>
    <row r="69">
      <c r="A69" s="68">
        <f>Stammdaten!A69</f>
        <v/>
      </c>
      <c r="B69" s="69">
        <f>Stammdaten!B69</f>
        <v/>
      </c>
      <c r="C69" s="69">
        <f>Stammdaten!C69</f>
        <v/>
      </c>
      <c r="D69" s="70" t="n">
        <v>6235.27</v>
      </c>
      <c r="E69" s="70" t="n">
        <v>6250.54</v>
      </c>
      <c r="F69" s="70" t="n">
        <v>6262.77</v>
      </c>
      <c r="G69" s="70" t="n">
        <v>6434.23</v>
      </c>
      <c r="H69" s="70" t="n">
        <v>6468.61</v>
      </c>
      <c r="I69" s="70" t="n">
        <v>6228.24</v>
      </c>
      <c r="J69" s="70" t="n">
        <v>6164.42</v>
      </c>
      <c r="K69" s="70" t="n">
        <v>6271.35</v>
      </c>
      <c r="L69" s="70" t="n">
        <v>6127.32</v>
      </c>
      <c r="M69" s="70" t="n">
        <v>6391.33</v>
      </c>
      <c r="N69" s="70" t="n">
        <v>6455.98</v>
      </c>
      <c r="O69" s="70" t="n">
        <v>6001.45</v>
      </c>
      <c r="P69" s="28">
        <f>SUM(D69:O69)</f>
        <v/>
      </c>
    </row>
    <row r="70">
      <c r="A70" s="68">
        <f>Stammdaten!A70</f>
        <v/>
      </c>
      <c r="B70" s="69">
        <f>Stammdaten!B70</f>
        <v/>
      </c>
      <c r="C70" s="69">
        <f>Stammdaten!C70</f>
        <v/>
      </c>
      <c r="D70" s="70" t="n">
        <v>2515.51</v>
      </c>
      <c r="E70" s="70" t="n">
        <v>2735.1</v>
      </c>
      <c r="F70" s="70" t="n">
        <v>2509.23</v>
      </c>
      <c r="G70" s="70" t="n">
        <v>2571.71</v>
      </c>
      <c r="H70" s="70" t="n">
        <v>2721.47</v>
      </c>
      <c r="I70" s="70" t="n">
        <v>2598.63</v>
      </c>
      <c r="J70" s="70" t="n">
        <v>2362.03</v>
      </c>
      <c r="K70" s="70" t="n">
        <v>2781.44</v>
      </c>
      <c r="L70" s="70" t="n">
        <v>2682.86</v>
      </c>
      <c r="M70" s="70" t="n">
        <v>2777.63</v>
      </c>
      <c r="N70" s="70" t="n">
        <v>2647.12</v>
      </c>
      <c r="O70" s="70" t="n">
        <v>2588.83</v>
      </c>
      <c r="P70" s="28">
        <f>SUM(D70:O70)</f>
        <v/>
      </c>
    </row>
    <row r="71">
      <c r="A71" s="68">
        <f>Stammdaten!A71</f>
        <v/>
      </c>
      <c r="B71" s="69">
        <f>Stammdaten!B71</f>
        <v/>
      </c>
      <c r="C71" s="69">
        <f>Stammdaten!C71</f>
        <v/>
      </c>
      <c r="D71" s="70" t="n">
        <v>2908.83</v>
      </c>
      <c r="E71" s="70" t="n">
        <v>2843.76</v>
      </c>
      <c r="F71" s="70" t="n">
        <v>2973.04</v>
      </c>
      <c r="G71" s="70" t="n">
        <v>2754.55</v>
      </c>
      <c r="H71" s="70" t="n">
        <v>2745.23</v>
      </c>
      <c r="I71" s="70" t="n">
        <v>2764.21</v>
      </c>
      <c r="J71" s="70" t="n">
        <v>2778.57</v>
      </c>
      <c r="K71" s="70" t="n">
        <v>2700.35</v>
      </c>
      <c r="L71" s="70" t="n">
        <v>2777.57</v>
      </c>
      <c r="M71" s="70" t="n">
        <v>2828.56</v>
      </c>
      <c r="N71" s="70" t="n">
        <v>2874.64</v>
      </c>
      <c r="O71" s="70" t="n">
        <v>2701.53</v>
      </c>
      <c r="P71" s="28">
        <f>SUM(D71:O71)</f>
        <v/>
      </c>
    </row>
    <row r="72">
      <c r="A72" s="68">
        <f>Stammdaten!A72</f>
        <v/>
      </c>
      <c r="B72" s="69">
        <f>Stammdaten!B72</f>
        <v/>
      </c>
      <c r="C72" s="69">
        <f>Stammdaten!C72</f>
        <v/>
      </c>
      <c r="D72" s="70" t="n">
        <v>5008.31</v>
      </c>
      <c r="E72" s="70" t="n">
        <v>4780.62</v>
      </c>
      <c r="F72" s="70" t="n">
        <v>5112.08</v>
      </c>
      <c r="G72" s="70" t="n">
        <v>4827.88</v>
      </c>
      <c r="H72" s="70" t="n">
        <v>5177.49</v>
      </c>
      <c r="I72" s="70" t="n">
        <v>4813.47</v>
      </c>
      <c r="J72" s="70" t="n">
        <v>4061.92</v>
      </c>
      <c r="K72" s="70" t="n">
        <v>5034.79</v>
      </c>
      <c r="L72" s="70" t="n">
        <v>4791.61</v>
      </c>
      <c r="M72" s="70" t="n">
        <v>4786.38</v>
      </c>
      <c r="N72" s="70" t="n">
        <v>5216.61</v>
      </c>
      <c r="O72" s="70" t="n">
        <v>4287.97</v>
      </c>
      <c r="P72" s="28">
        <f>SUM(D72:O72)</f>
        <v/>
      </c>
    </row>
    <row r="73">
      <c r="A73" s="68">
        <f>Stammdaten!A73</f>
        <v/>
      </c>
      <c r="B73" s="69">
        <f>Stammdaten!B73</f>
        <v/>
      </c>
      <c r="C73" s="69">
        <f>Stammdaten!C73</f>
        <v/>
      </c>
      <c r="D73" s="70" t="n">
        <v>4964.85</v>
      </c>
      <c r="E73" s="70" t="n">
        <v>5377.12</v>
      </c>
      <c r="F73" s="70" t="n">
        <v>5225.7</v>
      </c>
      <c r="G73" s="70" t="n">
        <v>4921.97</v>
      </c>
      <c r="H73" s="70" t="n">
        <v>5027.31</v>
      </c>
      <c r="I73" s="70" t="n">
        <v>4928.93</v>
      </c>
      <c r="J73" s="70" t="n">
        <v>5010.8</v>
      </c>
      <c r="K73" s="70" t="n">
        <v>4971.21</v>
      </c>
      <c r="L73" s="70" t="n">
        <v>5146.07</v>
      </c>
      <c r="M73" s="70" t="n">
        <v>5004.27</v>
      </c>
      <c r="N73" s="70" t="n">
        <v>5004.87</v>
      </c>
      <c r="O73" s="70" t="n">
        <v>4755.3</v>
      </c>
      <c r="P73" s="28">
        <f>SUM(D73:O73)</f>
        <v/>
      </c>
    </row>
    <row r="74">
      <c r="A74" s="68">
        <f>Stammdaten!A74</f>
        <v/>
      </c>
      <c r="B74" s="69">
        <f>Stammdaten!B74</f>
        <v/>
      </c>
      <c r="C74" s="69">
        <f>Stammdaten!C74</f>
        <v/>
      </c>
      <c r="D74" s="70" t="n">
        <v>3276.46</v>
      </c>
      <c r="E74" s="70" t="n">
        <v>3178.88</v>
      </c>
      <c r="F74" s="70" t="n">
        <v>3281.54</v>
      </c>
      <c r="G74" s="70" t="n">
        <v>3201.26</v>
      </c>
      <c r="H74" s="70" t="n">
        <v>3242.44</v>
      </c>
      <c r="I74" s="70" t="n">
        <v>3391.57</v>
      </c>
      <c r="J74" s="70" t="n">
        <v>2768.15</v>
      </c>
      <c r="K74" s="70" t="n">
        <v>3183.22</v>
      </c>
      <c r="L74" s="70" t="n">
        <v>3240.03</v>
      </c>
      <c r="M74" s="70" t="n">
        <v>3159.95</v>
      </c>
      <c r="N74" s="70" t="n">
        <v>3284.09</v>
      </c>
      <c r="O74" s="70" t="n">
        <v>2864.02</v>
      </c>
      <c r="P74" s="28">
        <f>SUM(D74:O74)</f>
        <v/>
      </c>
    </row>
    <row r="75">
      <c r="A75" s="68">
        <f>Stammdaten!A75</f>
        <v/>
      </c>
      <c r="B75" s="69">
        <f>Stammdaten!B75</f>
        <v/>
      </c>
      <c r="C75" s="69">
        <f>Stammdaten!C75</f>
        <v/>
      </c>
      <c r="D75" s="70" t="n">
        <v>2854.17</v>
      </c>
      <c r="E75" s="70" t="n">
        <v>2940.74</v>
      </c>
      <c r="F75" s="70" t="n">
        <v>3027.39</v>
      </c>
      <c r="G75" s="70" t="n">
        <v>2917.81</v>
      </c>
      <c r="H75" s="70" t="n">
        <v>2985.42</v>
      </c>
      <c r="I75" s="70" t="n">
        <v>2934.07</v>
      </c>
      <c r="J75" s="70" t="n">
        <v>2522</v>
      </c>
      <c r="K75" s="70" t="n">
        <v>2903.47</v>
      </c>
      <c r="L75" s="70" t="n">
        <v>2982.44</v>
      </c>
      <c r="M75" s="70" t="n">
        <v>2903.17</v>
      </c>
      <c r="N75" s="70" t="n">
        <v>3031.69</v>
      </c>
      <c r="O75" s="70" t="n">
        <v>2659.98</v>
      </c>
      <c r="P75" s="28">
        <f>SUM(D75:O75)</f>
        <v/>
      </c>
    </row>
    <row r="76">
      <c r="A76" s="68">
        <f>Stammdaten!A76</f>
        <v/>
      </c>
      <c r="B76" s="69">
        <f>Stammdaten!B76</f>
        <v/>
      </c>
      <c r="C76" s="69">
        <f>Stammdaten!C76</f>
        <v/>
      </c>
      <c r="D76" s="70" t="n">
        <v>5459.45</v>
      </c>
      <c r="E76" s="70" t="n">
        <v>5289.17</v>
      </c>
      <c r="F76" s="70" t="n">
        <v>5544.74</v>
      </c>
      <c r="G76" s="70" t="n">
        <v>5068.92</v>
      </c>
      <c r="H76" s="70" t="n">
        <v>5050.48</v>
      </c>
      <c r="I76" s="70" t="n">
        <v>5344.58</v>
      </c>
      <c r="J76" s="70" t="n">
        <v>4986.12</v>
      </c>
      <c r="K76" s="70" t="n">
        <v>5434.93</v>
      </c>
      <c r="L76" s="70" t="n">
        <v>5675.34</v>
      </c>
      <c r="M76" s="70" t="n">
        <v>5364.53</v>
      </c>
      <c r="N76" s="70" t="n">
        <v>5297.94</v>
      </c>
      <c r="O76" s="70" t="n">
        <v>4988.15</v>
      </c>
      <c r="P76" s="28">
        <f>SUM(D76:O76)</f>
        <v/>
      </c>
    </row>
    <row r="77">
      <c r="A77" s="68">
        <f>Stammdaten!A77</f>
        <v/>
      </c>
      <c r="B77" s="69">
        <f>Stammdaten!B77</f>
        <v/>
      </c>
      <c r="C77" s="69">
        <f>Stammdaten!C77</f>
        <v/>
      </c>
      <c r="D77" s="70" t="n">
        <v>3778.12</v>
      </c>
      <c r="E77" s="70" t="n">
        <v>3635.28</v>
      </c>
      <c r="F77" s="70" t="n">
        <v>4040.65</v>
      </c>
      <c r="G77" s="70" t="n">
        <v>3794.09</v>
      </c>
      <c r="H77" s="70" t="n">
        <v>3785.59</v>
      </c>
      <c r="I77" s="70" t="n">
        <v>3827.4</v>
      </c>
      <c r="J77" s="70" t="n">
        <v>3339.01</v>
      </c>
      <c r="K77" s="70" t="n">
        <v>3847.87</v>
      </c>
      <c r="L77" s="70" t="n">
        <v>3756.64</v>
      </c>
      <c r="M77" s="70" t="n">
        <v>3954.69</v>
      </c>
      <c r="N77" s="70" t="n">
        <v>3678.34</v>
      </c>
      <c r="O77" s="70" t="n">
        <v>3707.67</v>
      </c>
      <c r="P77" s="28">
        <f>SUM(D77:O77)</f>
        <v/>
      </c>
    </row>
    <row r="78">
      <c r="A78" s="68">
        <f>Stammdaten!A78</f>
        <v/>
      </c>
      <c r="B78" s="69">
        <f>Stammdaten!B78</f>
        <v/>
      </c>
      <c r="C78" s="69">
        <f>Stammdaten!C78</f>
        <v/>
      </c>
      <c r="D78" s="70" t="n">
        <v>4374.1</v>
      </c>
      <c r="E78" s="70" t="n">
        <v>4505.62</v>
      </c>
      <c r="F78" s="70" t="n">
        <v>4725.91</v>
      </c>
      <c r="G78" s="70" t="n">
        <v>4889.93</v>
      </c>
      <c r="H78" s="70" t="n">
        <v>4435.86</v>
      </c>
      <c r="I78" s="70" t="n">
        <v>4585.96</v>
      </c>
      <c r="J78" s="70" t="n">
        <v>4286.98</v>
      </c>
      <c r="K78" s="70" t="n">
        <v>4497.46</v>
      </c>
      <c r="L78" s="70" t="n">
        <v>5010.44</v>
      </c>
      <c r="M78" s="70" t="n">
        <v>4838.09</v>
      </c>
      <c r="N78" s="70" t="n">
        <v>4761.77</v>
      </c>
      <c r="O78" s="70" t="n">
        <v>4050.48</v>
      </c>
      <c r="P78" s="28">
        <f>SUM(D78:O78)</f>
        <v/>
      </c>
    </row>
    <row r="79">
      <c r="A79" s="71">
        <f>Stammdaten!A79</f>
        <v/>
      </c>
      <c r="B79" s="72">
        <f>Stammdaten!B79</f>
        <v/>
      </c>
      <c r="C79" s="72">
        <f>Stammdaten!C79</f>
        <v/>
      </c>
      <c r="D79" s="70" t="n">
        <v>3682.42</v>
      </c>
      <c r="E79" s="70" t="n">
        <v>3952.33</v>
      </c>
      <c r="F79" s="70" t="n">
        <v>3926.06</v>
      </c>
      <c r="G79" s="70" t="n">
        <v>3921.12</v>
      </c>
      <c r="H79" s="70" t="n">
        <v>3992.62</v>
      </c>
      <c r="I79" s="70" t="n">
        <v>3960.07</v>
      </c>
      <c r="J79" s="70" t="n">
        <v>3240.35</v>
      </c>
      <c r="K79" s="70" t="n">
        <v>3992.57</v>
      </c>
      <c r="L79" s="70" t="n">
        <v>4022.69</v>
      </c>
      <c r="M79" s="70" t="n">
        <v>4005.24</v>
      </c>
      <c r="N79" s="70" t="n">
        <v>3935.49</v>
      </c>
      <c r="O79" s="70" t="n">
        <v>3417.57</v>
      </c>
      <c r="P79" s="28">
        <f>SUM(D79:O79)</f>
        <v/>
      </c>
    </row>
    <row r="80">
      <c r="A80" s="71">
        <f>Stammdaten!A80</f>
        <v/>
      </c>
      <c r="B80" s="72">
        <f>Stammdaten!B80</f>
        <v/>
      </c>
      <c r="C80" s="72">
        <f>Stammdaten!C80</f>
        <v/>
      </c>
      <c r="D80" s="70" t="n">
        <v>4964.67</v>
      </c>
      <c r="E80" s="70" t="n">
        <v>4736.91</v>
      </c>
      <c r="F80" s="70" t="n">
        <v>4586.81</v>
      </c>
      <c r="G80" s="70" t="n">
        <v>4704.15</v>
      </c>
      <c r="H80" s="70" t="n">
        <v>4607.45</v>
      </c>
      <c r="I80" s="70" t="n">
        <v>4387.09</v>
      </c>
      <c r="J80" s="70" t="n">
        <v>4045.54</v>
      </c>
      <c r="K80" s="70" t="n">
        <v>4702.27</v>
      </c>
      <c r="L80" s="70" t="n">
        <v>4642.68</v>
      </c>
      <c r="M80" s="70" t="n">
        <v>4684.68</v>
      </c>
      <c r="N80" s="70" t="n">
        <v>4737.96</v>
      </c>
      <c r="O80" s="70" t="n">
        <v>4321.7</v>
      </c>
      <c r="P80" s="28">
        <f>SUM(D80:O80)</f>
        <v/>
      </c>
    </row>
    <row r="81">
      <c r="A81" s="71">
        <f>Stammdaten!A81</f>
        <v/>
      </c>
      <c r="B81" s="72">
        <f>Stammdaten!B81</f>
        <v/>
      </c>
      <c r="C81" s="72">
        <f>Stammdaten!C81</f>
        <v/>
      </c>
      <c r="D81" s="70" t="n">
        <v>5638.66</v>
      </c>
      <c r="E81" s="70" t="n">
        <v>5157.59</v>
      </c>
      <c r="F81" s="70" t="n">
        <v>5479.94</v>
      </c>
      <c r="G81" s="70" t="n">
        <v>5811.84</v>
      </c>
      <c r="H81" s="70" t="n">
        <v>5497.5</v>
      </c>
      <c r="I81" s="70" t="n">
        <v>5107.56</v>
      </c>
      <c r="J81" s="70" t="n">
        <v>4826</v>
      </c>
      <c r="K81" s="70" t="n">
        <v>5480.12</v>
      </c>
      <c r="L81" s="70" t="n">
        <v>5266.97</v>
      </c>
      <c r="M81" s="70" t="n">
        <v>5710.9</v>
      </c>
      <c r="N81" s="70" t="n">
        <v>5279.48</v>
      </c>
      <c r="O81" s="70" t="n">
        <v>5208.65</v>
      </c>
      <c r="P81" s="28">
        <f>SUM(D81:O81)</f>
        <v/>
      </c>
    </row>
    <row r="82">
      <c r="A82" s="71">
        <f>Stammdaten!A82</f>
        <v/>
      </c>
      <c r="B82" s="72">
        <f>Stammdaten!B82</f>
        <v/>
      </c>
      <c r="C82" s="72">
        <f>Stammdaten!C82</f>
        <v/>
      </c>
      <c r="D82" s="70" t="n">
        <v>3173.8</v>
      </c>
      <c r="E82" s="70" t="n">
        <v>3218.43</v>
      </c>
      <c r="F82" s="70" t="n">
        <v>3239.1</v>
      </c>
      <c r="G82" s="70" t="n">
        <v>3322.99</v>
      </c>
      <c r="H82" s="70" t="n">
        <v>3280.12</v>
      </c>
      <c r="I82" s="70" t="n">
        <v>3166.33</v>
      </c>
      <c r="J82" s="70" t="n">
        <v>2928.84</v>
      </c>
      <c r="K82" s="70" t="n">
        <v>3122.48</v>
      </c>
      <c r="L82" s="70" t="n">
        <v>3275.7</v>
      </c>
      <c r="M82" s="70" t="n">
        <v>3258.53</v>
      </c>
      <c r="N82" s="70" t="n">
        <v>3321.76</v>
      </c>
      <c r="O82" s="70" t="n">
        <v>2723.36</v>
      </c>
      <c r="P82" s="28">
        <f>SUM(D82:O82)</f>
        <v/>
      </c>
    </row>
    <row r="83">
      <c r="A83" s="71">
        <f>Stammdaten!A83</f>
        <v/>
      </c>
      <c r="B83" s="72">
        <f>Stammdaten!B83</f>
        <v/>
      </c>
      <c r="C83" s="72">
        <f>Stammdaten!C83</f>
        <v/>
      </c>
      <c r="D83" s="70" t="n">
        <v>3664</v>
      </c>
      <c r="E83" s="70" t="n">
        <v>3320.2</v>
      </c>
      <c r="F83" s="70" t="n">
        <v>3559.91</v>
      </c>
      <c r="G83" s="70" t="n">
        <v>3547.32</v>
      </c>
      <c r="H83" s="70" t="n">
        <v>3474.96</v>
      </c>
      <c r="I83" s="70" t="n">
        <v>3313.1</v>
      </c>
      <c r="J83" s="70" t="n">
        <v>3154.98</v>
      </c>
      <c r="K83" s="70" t="n">
        <v>3503.22</v>
      </c>
      <c r="L83" s="70" t="n">
        <v>3454.6</v>
      </c>
      <c r="M83" s="70" t="n">
        <v>3458.82</v>
      </c>
      <c r="N83" s="70" t="n">
        <v>3331.93</v>
      </c>
      <c r="O83" s="70" t="n">
        <v>3146.46</v>
      </c>
      <c r="P83" s="28">
        <f>SUM(D83:O83)</f>
        <v/>
      </c>
    </row>
    <row r="84">
      <c r="A84" s="71">
        <f>Stammdaten!A84</f>
        <v/>
      </c>
      <c r="B84" s="72">
        <f>Stammdaten!B84</f>
        <v/>
      </c>
      <c r="C84" s="72">
        <f>Stammdaten!C84</f>
        <v/>
      </c>
      <c r="D84" s="70" t="n">
        <v>4928.53</v>
      </c>
      <c r="E84" s="70" t="n">
        <v>4830.93</v>
      </c>
      <c r="F84" s="70" t="n">
        <v>4832.23</v>
      </c>
      <c r="G84" s="70" t="n">
        <v>4565.77</v>
      </c>
      <c r="H84" s="70" t="n">
        <v>4789.54</v>
      </c>
      <c r="I84" s="70" t="n">
        <v>4842.63</v>
      </c>
      <c r="J84" s="70" t="n">
        <v>4145.21</v>
      </c>
      <c r="K84" s="70" t="n">
        <v>5041.82</v>
      </c>
      <c r="L84" s="70" t="n">
        <v>5027.26</v>
      </c>
      <c r="M84" s="70" t="n">
        <v>4646.56</v>
      </c>
      <c r="N84" s="70" t="n">
        <v>4399.81</v>
      </c>
      <c r="O84" s="70" t="n">
        <v>4173.47</v>
      </c>
      <c r="P84" s="28">
        <f>SUM(D84:O84)</f>
        <v/>
      </c>
    </row>
    <row r="85">
      <c r="A85" s="71">
        <f>Stammdaten!A85</f>
        <v/>
      </c>
      <c r="B85" s="72">
        <f>Stammdaten!B85</f>
        <v/>
      </c>
      <c r="C85" s="72">
        <f>Stammdaten!C85</f>
        <v/>
      </c>
      <c r="D85" s="70" t="n">
        <v>3409.97</v>
      </c>
      <c r="E85" s="70" t="n">
        <v>3727.86</v>
      </c>
      <c r="F85" s="70" t="n">
        <v>3315.81</v>
      </c>
      <c r="G85" s="70" t="n">
        <v>3513.72</v>
      </c>
      <c r="H85" s="70" t="n">
        <v>3421.75</v>
      </c>
      <c r="I85" s="70" t="n">
        <v>3391.89</v>
      </c>
      <c r="J85" s="70" t="n">
        <v>3375.29</v>
      </c>
      <c r="K85" s="70" t="n">
        <v>3443.92</v>
      </c>
      <c r="L85" s="70" t="n">
        <v>3749.31</v>
      </c>
      <c r="M85" s="70" t="n">
        <v>3552.92</v>
      </c>
      <c r="N85" s="70" t="n">
        <v>3489.76</v>
      </c>
      <c r="O85" s="70" t="n">
        <v>3416.92</v>
      </c>
      <c r="P85" s="28">
        <f>SUM(D85:O85)</f>
        <v/>
      </c>
    </row>
    <row r="86">
      <c r="A86" s="71">
        <f>Stammdaten!A86</f>
        <v/>
      </c>
      <c r="B86" s="72">
        <f>Stammdaten!B86</f>
        <v/>
      </c>
      <c r="C86" s="72">
        <f>Stammdaten!C86</f>
        <v/>
      </c>
      <c r="D86" s="70" t="n">
        <v>4104.12</v>
      </c>
      <c r="E86" s="70" t="n">
        <v>4051.35</v>
      </c>
      <c r="F86" s="70" t="n">
        <v>3773.96</v>
      </c>
      <c r="G86" s="70" t="n">
        <v>4119.44</v>
      </c>
      <c r="H86" s="70" t="n">
        <v>4230.6</v>
      </c>
      <c r="I86" s="70" t="n">
        <v>3960.46</v>
      </c>
      <c r="J86" s="70" t="n">
        <v>3703.07</v>
      </c>
      <c r="K86" s="70" t="n">
        <v>3963.77</v>
      </c>
      <c r="L86" s="70" t="n">
        <v>3977.12</v>
      </c>
      <c r="M86" s="70" t="n">
        <v>3832.28</v>
      </c>
      <c r="N86" s="70" t="n">
        <v>3998.32</v>
      </c>
      <c r="O86" s="70" t="n">
        <v>4046.54</v>
      </c>
      <c r="P86" s="28">
        <f>SUM(D86:O86)</f>
        <v/>
      </c>
    </row>
    <row r="87">
      <c r="A87" s="71">
        <f>Stammdaten!A87</f>
        <v/>
      </c>
      <c r="B87" s="72">
        <f>Stammdaten!B87</f>
        <v/>
      </c>
      <c r="C87" s="72">
        <f>Stammdaten!C87</f>
        <v/>
      </c>
      <c r="D87" s="70" t="n">
        <v>3270.61</v>
      </c>
      <c r="E87" s="70" t="n">
        <v>3334.32</v>
      </c>
      <c r="F87" s="70" t="n">
        <v>3272.4</v>
      </c>
      <c r="G87" s="70" t="n">
        <v>3276.56</v>
      </c>
      <c r="H87" s="70" t="n">
        <v>3195.08</v>
      </c>
      <c r="I87" s="70" t="n">
        <v>3391.11</v>
      </c>
      <c r="J87" s="70" t="n">
        <v>3114.29</v>
      </c>
      <c r="K87" s="70" t="n">
        <v>3396.51</v>
      </c>
      <c r="L87" s="70" t="n">
        <v>3220.94</v>
      </c>
      <c r="M87" s="70" t="n">
        <v>3291.55</v>
      </c>
      <c r="N87" s="70" t="n">
        <v>3118.18</v>
      </c>
      <c r="O87" s="70" t="n">
        <v>2893.61</v>
      </c>
      <c r="P87" s="28">
        <f>SUM(D87:O87)</f>
        <v/>
      </c>
    </row>
    <row r="88">
      <c r="A88" s="71">
        <f>Stammdaten!A88</f>
        <v/>
      </c>
      <c r="B88" s="72">
        <f>Stammdaten!B88</f>
        <v/>
      </c>
      <c r="C88" s="72">
        <f>Stammdaten!C88</f>
        <v/>
      </c>
      <c r="D88" s="70" t="n">
        <v>4588.08</v>
      </c>
      <c r="E88" s="70" t="n">
        <v>4770.52</v>
      </c>
      <c r="F88" s="70" t="n">
        <v>4509.78</v>
      </c>
      <c r="G88" s="70" t="n">
        <v>4544.9</v>
      </c>
      <c r="H88" s="70" t="n">
        <v>4286.18</v>
      </c>
      <c r="I88" s="70" t="n">
        <v>4527.46</v>
      </c>
      <c r="J88" s="70" t="n">
        <v>4139.58</v>
      </c>
      <c r="K88" s="70" t="n">
        <v>4515.9</v>
      </c>
      <c r="L88" s="70" t="n">
        <v>4246.25</v>
      </c>
      <c r="M88" s="70" t="n">
        <v>4422.52</v>
      </c>
      <c r="N88" s="70" t="n">
        <v>4308.38</v>
      </c>
      <c r="O88" s="70" t="n">
        <v>3726.97</v>
      </c>
      <c r="P88" s="28">
        <f>SUM(D88:O88)</f>
        <v/>
      </c>
    </row>
    <row r="89">
      <c r="A89" s="68">
        <f>Stammdaten!A89</f>
        <v/>
      </c>
      <c r="B89" s="69">
        <f>Stammdaten!B89</f>
        <v/>
      </c>
      <c r="C89" s="69">
        <f>Stammdaten!C89</f>
        <v/>
      </c>
      <c r="D89" s="70" t="n">
        <v>3193.39</v>
      </c>
      <c r="E89" s="70" t="n">
        <v>3380.72</v>
      </c>
      <c r="F89" s="70" t="n">
        <v>3198.58</v>
      </c>
      <c r="G89" s="70" t="n">
        <v>3328.84</v>
      </c>
      <c r="H89" s="70" t="n">
        <v>3211.25</v>
      </c>
      <c r="I89" s="70" t="n">
        <v>3186.59</v>
      </c>
      <c r="J89" s="70" t="n">
        <v>2738.28</v>
      </c>
      <c r="K89" s="70" t="n">
        <v>3177.42</v>
      </c>
      <c r="L89" s="70" t="n">
        <v>3361.21</v>
      </c>
      <c r="M89" s="70" t="n">
        <v>3189.77</v>
      </c>
      <c r="N89" s="70" t="n">
        <v>3167.54</v>
      </c>
      <c r="O89" s="70" t="n">
        <v>3106.8</v>
      </c>
      <c r="P89" s="28">
        <f>SUM(D89:O89)</f>
        <v/>
      </c>
    </row>
    <row r="90">
      <c r="A90" s="68">
        <f>Stammdaten!A90</f>
        <v/>
      </c>
      <c r="B90" s="69">
        <f>Stammdaten!B90</f>
        <v/>
      </c>
      <c r="C90" s="69">
        <f>Stammdaten!C90</f>
        <v/>
      </c>
      <c r="D90" s="70" t="n">
        <v>4440.64</v>
      </c>
      <c r="E90" s="70" t="n">
        <v>4497.03</v>
      </c>
      <c r="F90" s="70" t="n">
        <v>4240.87</v>
      </c>
      <c r="G90" s="70" t="n">
        <v>4184.26</v>
      </c>
      <c r="H90" s="70" t="n">
        <v>4285.01</v>
      </c>
      <c r="I90" s="70" t="n">
        <v>4324.91</v>
      </c>
      <c r="J90" s="70" t="n">
        <v>4012.42</v>
      </c>
      <c r="K90" s="70" t="n">
        <v>4449.31</v>
      </c>
      <c r="L90" s="70" t="n">
        <v>4361.58</v>
      </c>
      <c r="M90" s="70" t="n">
        <v>4092.22</v>
      </c>
      <c r="N90" s="70" t="n">
        <v>3995.78</v>
      </c>
      <c r="O90" s="70" t="n">
        <v>3981.17</v>
      </c>
      <c r="P90" s="28">
        <f>SUM(D90:O90)</f>
        <v/>
      </c>
    </row>
    <row r="91">
      <c r="A91" s="68">
        <f>Stammdaten!A91</f>
        <v/>
      </c>
      <c r="B91" s="69">
        <f>Stammdaten!B91</f>
        <v/>
      </c>
      <c r="C91" s="69">
        <f>Stammdaten!C91</f>
        <v/>
      </c>
      <c r="D91" s="70" t="n">
        <v>2700.9</v>
      </c>
      <c r="E91" s="70" t="n">
        <v>2505.54</v>
      </c>
      <c r="F91" s="70" t="n">
        <v>2668.35</v>
      </c>
      <c r="G91" s="70" t="n">
        <v>2671.59</v>
      </c>
      <c r="H91" s="70" t="n">
        <v>2513.01</v>
      </c>
      <c r="I91" s="70" t="n">
        <v>2663.16</v>
      </c>
      <c r="J91" s="70" t="n">
        <v>2177.69</v>
      </c>
      <c r="K91" s="70" t="n">
        <v>2695.31</v>
      </c>
      <c r="L91" s="70" t="n">
        <v>2430.17</v>
      </c>
      <c r="M91" s="70" t="n">
        <v>2709.34</v>
      </c>
      <c r="N91" s="70" t="n">
        <v>2747.75</v>
      </c>
      <c r="O91" s="70" t="n">
        <v>2449.7</v>
      </c>
      <c r="P91" s="28">
        <f>SUM(D91:O91)</f>
        <v/>
      </c>
    </row>
    <row r="92">
      <c r="A92" s="68">
        <f>Stammdaten!A92</f>
        <v/>
      </c>
      <c r="B92" s="69">
        <f>Stammdaten!B92</f>
        <v/>
      </c>
      <c r="C92" s="69">
        <f>Stammdaten!C92</f>
        <v/>
      </c>
      <c r="D92" s="70" t="n">
        <v>3251.12</v>
      </c>
      <c r="E92" s="70" t="n">
        <v>3282.87</v>
      </c>
      <c r="F92" s="70" t="n">
        <v>3307.53</v>
      </c>
      <c r="G92" s="70" t="n">
        <v>3204.47</v>
      </c>
      <c r="H92" s="70" t="n">
        <v>3193.3</v>
      </c>
      <c r="I92" s="70" t="n">
        <v>3179.36</v>
      </c>
      <c r="J92" s="70" t="n">
        <v>3094.82</v>
      </c>
      <c r="K92" s="70" t="n">
        <v>3400.41</v>
      </c>
      <c r="L92" s="70" t="n">
        <v>3326.22</v>
      </c>
      <c r="M92" s="70" t="n">
        <v>3248.94</v>
      </c>
      <c r="N92" s="70" t="n">
        <v>3291.07</v>
      </c>
      <c r="O92" s="70" t="n">
        <v>2990</v>
      </c>
      <c r="P92" s="28">
        <f>SUM(D92:O92)</f>
        <v/>
      </c>
    </row>
    <row r="93">
      <c r="A93" s="68">
        <f>Stammdaten!A93</f>
        <v/>
      </c>
      <c r="B93" s="69">
        <f>Stammdaten!B93</f>
        <v/>
      </c>
      <c r="C93" s="69">
        <f>Stammdaten!C93</f>
        <v/>
      </c>
      <c r="D93" s="70" t="n">
        <v>3299.71</v>
      </c>
      <c r="E93" s="70" t="n">
        <v>3162.38</v>
      </c>
      <c r="F93" s="70" t="n">
        <v>3284.21</v>
      </c>
      <c r="G93" s="70" t="n">
        <v>3339.83</v>
      </c>
      <c r="H93" s="70" t="n">
        <v>3389.15</v>
      </c>
      <c r="I93" s="70" t="n">
        <v>3245.35</v>
      </c>
      <c r="J93" s="70" t="n">
        <v>2973.07</v>
      </c>
      <c r="K93" s="70" t="n">
        <v>3063.51</v>
      </c>
      <c r="L93" s="70" t="n">
        <v>3190.94</v>
      </c>
      <c r="M93" s="70" t="n">
        <v>3253.48</v>
      </c>
      <c r="N93" s="70" t="n">
        <v>3366.42</v>
      </c>
      <c r="O93" s="70" t="n">
        <v>3001.81</v>
      </c>
      <c r="P93" s="28">
        <f>SUM(D93:O93)</f>
        <v/>
      </c>
    </row>
    <row r="94">
      <c r="A94" s="68">
        <f>Stammdaten!A94</f>
        <v/>
      </c>
      <c r="B94" s="69">
        <f>Stammdaten!B94</f>
        <v/>
      </c>
      <c r="C94" s="69">
        <f>Stammdaten!C94</f>
        <v/>
      </c>
      <c r="D94" s="70" t="n">
        <v>3373.94</v>
      </c>
      <c r="E94" s="70" t="n">
        <v>3439.2</v>
      </c>
      <c r="F94" s="70" t="n">
        <v>3396.2</v>
      </c>
      <c r="G94" s="70" t="n">
        <v>3149.66</v>
      </c>
      <c r="H94" s="70" t="n">
        <v>3571.19</v>
      </c>
      <c r="I94" s="70" t="n">
        <v>3244.26</v>
      </c>
      <c r="J94" s="70" t="n">
        <v>2930.17</v>
      </c>
      <c r="K94" s="70" t="n">
        <v>3485.71</v>
      </c>
      <c r="L94" s="70" t="n">
        <v>3582.27</v>
      </c>
      <c r="M94" s="70" t="n">
        <v>3300.71</v>
      </c>
      <c r="N94" s="70" t="n">
        <v>3365.04</v>
      </c>
      <c r="O94" s="70" t="n">
        <v>3098.85</v>
      </c>
      <c r="P94" s="28">
        <f>SUM(D94:O94)</f>
        <v/>
      </c>
    </row>
    <row r="95">
      <c r="A95" s="68">
        <f>Stammdaten!A95</f>
        <v/>
      </c>
      <c r="B95" s="69">
        <f>Stammdaten!B95</f>
        <v/>
      </c>
      <c r="C95" s="69">
        <f>Stammdaten!C95</f>
        <v/>
      </c>
      <c r="D95" s="70" t="n">
        <v>3899.15</v>
      </c>
      <c r="E95" s="70" t="n">
        <v>3590.39</v>
      </c>
      <c r="F95" s="70" t="n">
        <v>3615.83</v>
      </c>
      <c r="G95" s="70" t="n">
        <v>3738.32</v>
      </c>
      <c r="H95" s="70" t="n">
        <v>3635.82</v>
      </c>
      <c r="I95" s="70" t="n">
        <v>3919.84</v>
      </c>
      <c r="J95" s="70" t="n">
        <v>3348.9</v>
      </c>
      <c r="K95" s="70" t="n">
        <v>3731.72</v>
      </c>
      <c r="L95" s="70" t="n">
        <v>3565.49</v>
      </c>
      <c r="M95" s="70" t="n">
        <v>3561.98</v>
      </c>
      <c r="N95" s="70" t="n">
        <v>3844.55</v>
      </c>
      <c r="O95" s="70" t="n">
        <v>3320.54</v>
      </c>
      <c r="P95" s="28">
        <f>SUM(D95:O95)</f>
        <v/>
      </c>
    </row>
    <row r="96">
      <c r="A96" s="68">
        <f>Stammdaten!A96</f>
        <v/>
      </c>
      <c r="B96" s="69">
        <f>Stammdaten!B96</f>
        <v/>
      </c>
      <c r="C96" s="69">
        <f>Stammdaten!C96</f>
        <v/>
      </c>
      <c r="D96" s="70" t="n">
        <v>4762.54</v>
      </c>
      <c r="E96" s="70" t="n">
        <v>4474.57</v>
      </c>
      <c r="F96" s="70" t="n">
        <v>4465.98</v>
      </c>
      <c r="G96" s="70" t="n">
        <v>4709.45</v>
      </c>
      <c r="H96" s="70" t="n">
        <v>4701.45</v>
      </c>
      <c r="I96" s="70" t="n">
        <v>4861.68</v>
      </c>
      <c r="J96" s="70" t="n">
        <v>4424.79</v>
      </c>
      <c r="K96" s="70" t="n">
        <v>4788.57</v>
      </c>
      <c r="L96" s="70" t="n">
        <v>4797.78</v>
      </c>
      <c r="M96" s="70" t="n">
        <v>4541.83</v>
      </c>
      <c r="N96" s="70" t="n">
        <v>4576.88</v>
      </c>
      <c r="O96" s="70" t="n">
        <v>4190.26</v>
      </c>
      <c r="P96" s="28">
        <f>SUM(D96:O96)</f>
        <v/>
      </c>
    </row>
    <row r="97">
      <c r="A97" s="68">
        <f>Stammdaten!A97</f>
        <v/>
      </c>
      <c r="B97" s="69">
        <f>Stammdaten!B97</f>
        <v/>
      </c>
      <c r="C97" s="69">
        <f>Stammdaten!C97</f>
        <v/>
      </c>
      <c r="D97" s="70" t="n">
        <v>4447.78</v>
      </c>
      <c r="E97" s="70" t="n">
        <v>4354.99</v>
      </c>
      <c r="F97" s="70" t="n">
        <v>3978.16</v>
      </c>
      <c r="G97" s="70" t="n">
        <v>4274.35</v>
      </c>
      <c r="H97" s="70" t="n">
        <v>4265.43</v>
      </c>
      <c r="I97" s="70" t="n">
        <v>4181.09</v>
      </c>
      <c r="J97" s="70" t="n">
        <v>3483.25</v>
      </c>
      <c r="K97" s="70" t="n">
        <v>4224.92</v>
      </c>
      <c r="L97" s="70" t="n">
        <v>4061.16</v>
      </c>
      <c r="M97" s="70" t="n">
        <v>4068.74</v>
      </c>
      <c r="N97" s="70" t="n">
        <v>4145.66</v>
      </c>
      <c r="O97" s="70" t="n">
        <v>3978.26</v>
      </c>
      <c r="P97" s="28">
        <f>SUM(D97:O97)</f>
        <v/>
      </c>
    </row>
    <row r="98">
      <c r="A98" s="68">
        <f>Stammdaten!A98</f>
        <v/>
      </c>
      <c r="B98" s="69">
        <f>Stammdaten!B98</f>
        <v/>
      </c>
      <c r="C98" s="69">
        <f>Stammdaten!C98</f>
        <v/>
      </c>
      <c r="D98" s="70" t="n">
        <v>3732.55</v>
      </c>
      <c r="E98" s="70" t="n">
        <v>3702.55</v>
      </c>
      <c r="F98" s="70" t="n">
        <v>3488.98</v>
      </c>
      <c r="G98" s="70" t="n">
        <v>3777.92</v>
      </c>
      <c r="H98" s="70" t="n">
        <v>3510.89</v>
      </c>
      <c r="I98" s="70" t="n">
        <v>3640.43</v>
      </c>
      <c r="J98" s="70" t="n">
        <v>3333.1</v>
      </c>
      <c r="K98" s="70" t="n">
        <v>3662.67</v>
      </c>
      <c r="L98" s="70" t="n">
        <v>3628.13</v>
      </c>
      <c r="M98" s="70" t="n">
        <v>3638.78</v>
      </c>
      <c r="N98" s="70" t="n">
        <v>3513.38</v>
      </c>
      <c r="O98" s="70" t="n">
        <v>3675.55</v>
      </c>
      <c r="P98" s="28">
        <f>SUM(D98:O98)</f>
        <v/>
      </c>
    </row>
    <row r="99">
      <c r="A99" s="71">
        <f>Stammdaten!A99</f>
        <v/>
      </c>
      <c r="B99" s="72">
        <f>Stammdaten!B99</f>
        <v/>
      </c>
      <c r="C99" s="72">
        <f>Stammdaten!C99</f>
        <v/>
      </c>
      <c r="D99" s="70" t="n">
        <v>3275.17</v>
      </c>
      <c r="E99" s="70" t="n">
        <v>3376.21</v>
      </c>
      <c r="F99" s="70" t="n">
        <v>3223.99</v>
      </c>
      <c r="G99" s="70" t="n">
        <v>3327.95</v>
      </c>
      <c r="H99" s="70" t="n">
        <v>3138.65</v>
      </c>
      <c r="I99" s="70" t="n">
        <v>3497.17</v>
      </c>
      <c r="J99" s="70" t="n">
        <v>3069.58</v>
      </c>
      <c r="K99" s="70" t="n">
        <v>3341.45</v>
      </c>
      <c r="L99" s="70" t="n">
        <v>3519.93</v>
      </c>
      <c r="M99" s="70" t="n">
        <v>3367.55</v>
      </c>
      <c r="N99" s="70" t="n">
        <v>3571.35</v>
      </c>
      <c r="O99" s="70" t="n">
        <v>2898.08</v>
      </c>
      <c r="P99" s="28">
        <f>SUM(D99:O99)</f>
        <v/>
      </c>
    </row>
    <row r="100">
      <c r="A100" s="71">
        <f>Stammdaten!A100</f>
        <v/>
      </c>
      <c r="B100" s="72">
        <f>Stammdaten!B100</f>
        <v/>
      </c>
      <c r="C100" s="72">
        <f>Stammdaten!C100</f>
        <v/>
      </c>
      <c r="D100" s="70" t="n">
        <v>4237.43</v>
      </c>
      <c r="E100" s="70" t="n">
        <v>4396.39</v>
      </c>
      <c r="F100" s="70" t="n">
        <v>4458.86</v>
      </c>
      <c r="G100" s="70" t="n">
        <v>4398.12</v>
      </c>
      <c r="H100" s="70" t="n">
        <v>4033.73</v>
      </c>
      <c r="I100" s="70" t="n">
        <v>4311.88</v>
      </c>
      <c r="J100" s="70" t="n">
        <v>3617.63</v>
      </c>
      <c r="K100" s="70" t="n">
        <v>4285.6</v>
      </c>
      <c r="L100" s="70" t="n">
        <v>4262.33</v>
      </c>
      <c r="M100" s="70" t="n">
        <v>4109.19</v>
      </c>
      <c r="N100" s="70" t="n">
        <v>4173.34</v>
      </c>
      <c r="O100" s="70" t="n">
        <v>4045.43</v>
      </c>
      <c r="P100" s="28">
        <f>SUM(D100:O100)</f>
        <v/>
      </c>
    </row>
    <row r="101">
      <c r="A101" s="71">
        <f>Stammdaten!A101</f>
        <v/>
      </c>
      <c r="B101" s="72">
        <f>Stammdaten!B101</f>
        <v/>
      </c>
      <c r="C101" s="72">
        <f>Stammdaten!C101</f>
        <v/>
      </c>
      <c r="D101" s="70" t="n">
        <v>4607.24</v>
      </c>
      <c r="E101" s="70" t="n">
        <v>4641.33</v>
      </c>
      <c r="F101" s="70" t="n">
        <v>4831.01</v>
      </c>
      <c r="G101" s="70" t="n">
        <v>4754.97</v>
      </c>
      <c r="H101" s="70" t="n">
        <v>4461.95</v>
      </c>
      <c r="I101" s="70" t="n">
        <v>4759.41</v>
      </c>
      <c r="J101" s="70" t="n">
        <v>4209.93</v>
      </c>
      <c r="K101" s="70" t="n">
        <v>4280.12</v>
      </c>
      <c r="L101" s="70" t="n">
        <v>4469.53</v>
      </c>
      <c r="M101" s="70" t="n">
        <v>4749.02</v>
      </c>
      <c r="N101" s="70" t="n">
        <v>4582.84</v>
      </c>
      <c r="O101" s="70" t="n">
        <v>4517.67</v>
      </c>
      <c r="P101" s="28">
        <f>SUM(D101:O101)</f>
        <v/>
      </c>
    </row>
    <row r="102">
      <c r="A102" s="71">
        <f>Stammdaten!A102</f>
        <v/>
      </c>
      <c r="B102" s="72">
        <f>Stammdaten!B102</f>
        <v/>
      </c>
      <c r="C102" s="72">
        <f>Stammdaten!C102</f>
        <v/>
      </c>
      <c r="D102" s="70" t="n">
        <v>3088.4</v>
      </c>
      <c r="E102" s="70" t="n">
        <v>3334.74</v>
      </c>
      <c r="F102" s="70" t="n">
        <v>3148.23</v>
      </c>
      <c r="G102" s="70" t="n">
        <v>3044.8</v>
      </c>
      <c r="H102" s="70" t="n">
        <v>3336.74</v>
      </c>
      <c r="I102" s="70" t="n">
        <v>2935.24</v>
      </c>
      <c r="J102" s="70" t="n">
        <v>2955.78</v>
      </c>
      <c r="K102" s="70" t="n">
        <v>3224.82</v>
      </c>
      <c r="L102" s="70" t="n">
        <v>3186.57</v>
      </c>
      <c r="M102" s="70" t="n">
        <v>3021.49</v>
      </c>
      <c r="N102" s="70" t="n">
        <v>3111.78</v>
      </c>
      <c r="O102" s="70" t="n">
        <v>3039.08</v>
      </c>
      <c r="P102" s="28">
        <f>SUM(D102:O102)</f>
        <v/>
      </c>
    </row>
    <row r="103">
      <c r="A103" s="71">
        <f>Stammdaten!A103</f>
        <v/>
      </c>
      <c r="B103" s="72">
        <f>Stammdaten!B103</f>
        <v/>
      </c>
      <c r="C103" s="72">
        <f>Stammdaten!C103</f>
        <v/>
      </c>
      <c r="D103" s="70" t="n">
        <v>2905.76</v>
      </c>
      <c r="E103" s="70" t="n">
        <v>3159.56</v>
      </c>
      <c r="F103" s="70" t="n">
        <v>2934.74</v>
      </c>
      <c r="G103" s="70" t="n">
        <v>2967.59</v>
      </c>
      <c r="H103" s="70" t="n">
        <v>2964.42</v>
      </c>
      <c r="I103" s="70" t="n">
        <v>3055.46</v>
      </c>
      <c r="J103" s="70" t="n">
        <v>2962.61</v>
      </c>
      <c r="K103" s="70" t="n">
        <v>3058.16</v>
      </c>
      <c r="L103" s="70" t="n">
        <v>3034.62</v>
      </c>
      <c r="M103" s="70" t="n">
        <v>2852.79</v>
      </c>
      <c r="N103" s="70" t="n">
        <v>2897.18</v>
      </c>
      <c r="O103" s="70" t="n">
        <v>2876.79</v>
      </c>
      <c r="P103" s="28">
        <f>SUM(D103:O103)</f>
        <v/>
      </c>
    </row>
    <row r="104">
      <c r="A104" s="71">
        <f>Stammdaten!A104</f>
        <v/>
      </c>
      <c r="B104" s="72">
        <f>Stammdaten!B104</f>
        <v/>
      </c>
      <c r="C104" s="72">
        <f>Stammdaten!C104</f>
        <v/>
      </c>
      <c r="D104" s="70" t="n">
        <v>5413.92</v>
      </c>
      <c r="E104" s="70" t="n">
        <v>5363.91</v>
      </c>
      <c r="F104" s="70" t="n">
        <v>5282.54</v>
      </c>
      <c r="G104" s="70" t="n">
        <v>5283</v>
      </c>
      <c r="H104" s="70" t="n">
        <v>5168.5</v>
      </c>
      <c r="I104" s="70" t="n">
        <v>5531.9</v>
      </c>
      <c r="J104" s="70" t="n">
        <v>4760.4</v>
      </c>
      <c r="K104" s="70" t="n">
        <v>5223.32</v>
      </c>
      <c r="L104" s="70" t="n">
        <v>5108.07</v>
      </c>
      <c r="M104" s="70" t="n">
        <v>5282.87</v>
      </c>
      <c r="N104" s="70" t="n">
        <v>5073.06</v>
      </c>
      <c r="O104" s="70" t="n">
        <v>4746.47</v>
      </c>
      <c r="P104" s="28">
        <f>SUM(D104:O104)</f>
        <v/>
      </c>
    </row>
    <row r="105">
      <c r="A105" s="71">
        <f>Stammdaten!A105</f>
        <v/>
      </c>
      <c r="B105" s="72">
        <f>Stammdaten!B105</f>
        <v/>
      </c>
      <c r="C105" s="72">
        <f>Stammdaten!C105</f>
        <v/>
      </c>
      <c r="D105" s="70" t="n">
        <v>6081.99</v>
      </c>
      <c r="E105" s="70" t="n">
        <v>6140.43</v>
      </c>
      <c r="F105" s="70" t="n">
        <v>6599.6</v>
      </c>
      <c r="G105" s="70" t="n">
        <v>5912.3</v>
      </c>
      <c r="H105" s="70" t="n">
        <v>5982.78</v>
      </c>
      <c r="I105" s="70" t="n">
        <v>6532.67</v>
      </c>
      <c r="J105" s="70" t="n">
        <v>6246.07</v>
      </c>
      <c r="K105" s="70" t="n">
        <v>6323.07</v>
      </c>
      <c r="L105" s="70" t="n">
        <v>6127.9</v>
      </c>
      <c r="M105" s="70" t="n">
        <v>6543.39</v>
      </c>
      <c r="N105" s="70" t="n">
        <v>6337.75</v>
      </c>
      <c r="O105" s="70" t="n">
        <v>6002.42</v>
      </c>
      <c r="P105" s="28">
        <f>SUM(D105:O105)</f>
        <v/>
      </c>
    </row>
    <row r="106">
      <c r="A106" s="71">
        <f>Stammdaten!A106</f>
        <v/>
      </c>
      <c r="B106" s="72">
        <f>Stammdaten!B106</f>
        <v/>
      </c>
      <c r="C106" s="72">
        <f>Stammdaten!C106</f>
        <v/>
      </c>
      <c r="D106" s="70" t="n">
        <v>2704.99</v>
      </c>
      <c r="E106" s="70" t="n">
        <v>2752.38</v>
      </c>
      <c r="F106" s="70" t="n">
        <v>2846.46</v>
      </c>
      <c r="G106" s="70" t="n">
        <v>2656.73</v>
      </c>
      <c r="H106" s="70" t="n">
        <v>2859.52</v>
      </c>
      <c r="I106" s="70" t="n">
        <v>2890.47</v>
      </c>
      <c r="J106" s="70" t="n">
        <v>2377.96</v>
      </c>
      <c r="K106" s="70" t="n">
        <v>2734.47</v>
      </c>
      <c r="L106" s="70" t="n">
        <v>2753.33</v>
      </c>
      <c r="M106" s="70" t="n">
        <v>2655.95</v>
      </c>
      <c r="N106" s="70" t="n">
        <v>2737.18</v>
      </c>
      <c r="O106" s="70" t="n">
        <v>2529.62</v>
      </c>
      <c r="P106" s="28">
        <f>SUM(D106:O106)</f>
        <v/>
      </c>
    </row>
    <row r="107">
      <c r="A107" s="71">
        <f>Stammdaten!A107</f>
        <v/>
      </c>
      <c r="B107" s="72">
        <f>Stammdaten!B107</f>
        <v/>
      </c>
      <c r="C107" s="72">
        <f>Stammdaten!C107</f>
        <v/>
      </c>
      <c r="D107" s="70" t="n">
        <v>4694.03</v>
      </c>
      <c r="E107" s="70" t="n">
        <v>4415.11</v>
      </c>
      <c r="F107" s="70" t="n">
        <v>4545.7</v>
      </c>
      <c r="G107" s="70" t="n">
        <v>4715.43</v>
      </c>
      <c r="H107" s="70" t="n">
        <v>4792.95</v>
      </c>
      <c r="I107" s="70" t="n">
        <v>4518.39</v>
      </c>
      <c r="J107" s="70" t="n">
        <v>4200.91</v>
      </c>
      <c r="K107" s="70" t="n">
        <v>4531.68</v>
      </c>
      <c r="L107" s="70" t="n">
        <v>4674.02</v>
      </c>
      <c r="M107" s="70" t="n">
        <v>4651.32</v>
      </c>
      <c r="N107" s="70" t="n">
        <v>4411.32</v>
      </c>
      <c r="O107" s="70" t="n">
        <v>4060.35</v>
      </c>
      <c r="P107" s="28">
        <f>SUM(D107:O107)</f>
        <v/>
      </c>
    </row>
    <row r="108">
      <c r="A108" s="71">
        <f>Stammdaten!A108</f>
        <v/>
      </c>
      <c r="B108" s="72">
        <f>Stammdaten!B108</f>
        <v/>
      </c>
      <c r="C108" s="72">
        <f>Stammdaten!C108</f>
        <v/>
      </c>
      <c r="D108" s="70" t="n">
        <v>3229.08</v>
      </c>
      <c r="E108" s="70" t="n">
        <v>3122.73</v>
      </c>
      <c r="F108" s="70" t="n">
        <v>3229.06</v>
      </c>
      <c r="G108" s="70" t="n">
        <v>3008.42</v>
      </c>
      <c r="H108" s="70" t="n">
        <v>3252.46</v>
      </c>
      <c r="I108" s="70" t="n">
        <v>3185.43</v>
      </c>
      <c r="J108" s="70" t="n">
        <v>3002.7</v>
      </c>
      <c r="K108" s="70" t="n">
        <v>3192.38</v>
      </c>
      <c r="L108" s="70" t="n">
        <v>3267.89</v>
      </c>
      <c r="M108" s="70" t="n">
        <v>3186.09</v>
      </c>
      <c r="N108" s="70" t="n">
        <v>3323.06</v>
      </c>
      <c r="O108" s="70" t="n">
        <v>3043.2</v>
      </c>
      <c r="P108" s="28">
        <f>SUM(D108:O108)</f>
        <v/>
      </c>
    </row>
  </sheetData>
  <mergeCells count="2">
    <mergeCell ref="A1:P1"/>
    <mergeCell ref="A2:P2"/>
  </mergeCells>
  <conditionalFormatting sqref="P9:P108">
    <cfRule type="dataBar" priority="1">
      <dataBar showValue="1">
        <cfvo type="min"/>
        <cfvo type="max"/>
        <color rgb="008A6A3E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6A3E"/>
    <outlinePr summaryBelow="1" summaryRight="1"/>
    <pageSetUpPr/>
  </sheetPr>
  <dimension ref="A1:AD108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outlineLevel="1" width="10" customWidth="1" min="4" max="4"/>
    <col outlineLevel="1" width="10" customWidth="1" min="5" max="5"/>
    <col outlineLevel="1" width="10" customWidth="1" min="6" max="6"/>
    <col outlineLevel="1" width="10" customWidth="1" min="7" max="7"/>
    <col outlineLevel="1" width="10" customWidth="1" min="8" max="8"/>
    <col outlineLevel="1" width="10" customWidth="1" min="9" max="9"/>
    <col outlineLevel="1" width="10" customWidth="1" min="10" max="10"/>
    <col outlineLevel="1" width="10" customWidth="1" min="11" max="11"/>
    <col outlineLevel="1" width="10" customWidth="1" min="12" max="12"/>
    <col outlineLevel="1" width="10" customWidth="1" min="13" max="13"/>
    <col outlineLevel="1" width="10" customWidth="1" min="14" max="14"/>
    <col outlineLevel="1" width="10" customWidth="1" min="15" max="15"/>
    <col width="12" customWidth="1" min="16" max="16"/>
    <col outlineLevel="1" width="10" customWidth="1" min="17" max="17"/>
    <col outlineLevel="1" width="10" customWidth="1" min="18" max="18"/>
    <col outlineLevel="1" width="10" customWidth="1" min="19" max="19"/>
    <col outlineLevel="1" width="10" customWidth="1" min="20" max="20"/>
    <col outlineLevel="1" width="10" customWidth="1" min="21" max="21"/>
    <col outlineLevel="1" width="10" customWidth="1" min="22" max="22"/>
    <col outlineLevel="1" width="10" customWidth="1" min="23" max="23"/>
    <col outlineLevel="1" width="10" customWidth="1" min="24" max="24"/>
    <col outlineLevel="1" width="10" customWidth="1" min="25" max="25"/>
    <col outlineLevel="1" width="10" customWidth="1" min="26" max="26"/>
    <col outlineLevel="1" width="10" customWidth="1" min="27" max="27"/>
    <col outlineLevel="1" width="10" customWidth="1" min="28" max="28"/>
    <col width="12" customWidth="1" min="29" max="29"/>
    <col width="15" customWidth="1" min="30" max="30"/>
  </cols>
  <sheetData>
    <row r="1" ht="26" customHeight="1">
      <c r="A1" s="1" t="inlineStr">
        <is>
          <t>RÜCKSTELLUNGEN — Urlaubs- &amp; Weihnachtsgeld je Mitarbeiter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5" customHeight="1">
      <c r="A2" s="3" t="inlineStr">
        <is>
          <t>Automatisch berechnet aus den Selbstkosten × Rückstellungssatz (siehe Stammdaten). Getrennt je Mitarbeiter und Kunde ausgewiesen.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</row>
    <row r="3" ht="6" customHeight="1"/>
    <row r="4" ht="14" customHeight="1">
      <c r="A4" s="66" t="inlineStr">
        <is>
          <t xml:space="preserve"> Verknüpfung</t>
        </is>
      </c>
      <c r="D4" s="67" t="inlineStr">
        <is>
          <t xml:space="preserve"> Formel (auto-berechnet)</t>
        </is>
      </c>
    </row>
    <row r="5">
      <c r="A5" s="73" t="inlineStr">
        <is>
          <t>Rückstellungssatz Urlaubsgeld:</t>
        </is>
      </c>
      <c r="D5" s="74">
        <f>Stammdaten!C5</f>
        <v/>
      </c>
    </row>
    <row r="6">
      <c r="A6" s="73" t="inlineStr">
        <is>
          <t>Rückstellungssatz Weihnachtsgeld:</t>
        </is>
      </c>
      <c r="D6" s="74">
        <f>Stammdaten!C6</f>
        <v/>
      </c>
    </row>
    <row r="7" ht="18" customHeight="1">
      <c r="A7" s="2" t="n"/>
      <c r="B7" s="2" t="n"/>
      <c r="C7" s="2" t="n"/>
      <c r="D7" s="75" t="inlineStr">
        <is>
          <t>RÜCKSTELLUNG URLAUBSGELD</t>
        </is>
      </c>
      <c r="Q7" s="76" t="inlineStr">
        <is>
          <t>RÜCKSTELLUNG WEIHNACHTSGELD</t>
        </is>
      </c>
      <c r="AD7" s="2" t="inlineStr"/>
    </row>
    <row r="8" ht="30" customHeight="1">
      <c r="A8" s="49" t="inlineStr">
        <is>
          <t>ID</t>
        </is>
      </c>
      <c r="B8" s="49" t="inlineStr">
        <is>
          <t>Kunde</t>
        </is>
      </c>
      <c r="C8" s="49" t="inlineStr">
        <is>
          <t>Mitarbeiter</t>
        </is>
      </c>
      <c r="D8" s="49" t="inlineStr">
        <is>
          <t>Jan</t>
        </is>
      </c>
      <c r="E8" s="49" t="inlineStr">
        <is>
          <t>Feb</t>
        </is>
      </c>
      <c r="F8" s="49" t="inlineStr">
        <is>
          <t>Mär</t>
        </is>
      </c>
      <c r="G8" s="49" t="inlineStr">
        <is>
          <t>Apr</t>
        </is>
      </c>
      <c r="H8" s="49" t="inlineStr">
        <is>
          <t>Mai</t>
        </is>
      </c>
      <c r="I8" s="49" t="inlineStr">
        <is>
          <t>Jun</t>
        </is>
      </c>
      <c r="J8" s="49" t="inlineStr">
        <is>
          <t>Jul</t>
        </is>
      </c>
      <c r="K8" s="49" t="inlineStr">
        <is>
          <t>Aug</t>
        </is>
      </c>
      <c r="L8" s="49" t="inlineStr">
        <is>
          <t>Sep</t>
        </is>
      </c>
      <c r="M8" s="49" t="inlineStr">
        <is>
          <t>Okt</t>
        </is>
      </c>
      <c r="N8" s="49" t="inlineStr">
        <is>
          <t>Nov</t>
        </is>
      </c>
      <c r="O8" s="49" t="inlineStr">
        <is>
          <t>Dez</t>
        </is>
      </c>
      <c r="P8" s="49" t="inlineStr">
        <is>
          <t>Summe</t>
        </is>
      </c>
      <c r="Q8" s="49" t="inlineStr">
        <is>
          <t>Jan</t>
        </is>
      </c>
      <c r="R8" s="49" t="inlineStr">
        <is>
          <t>Feb</t>
        </is>
      </c>
      <c r="S8" s="49" t="inlineStr">
        <is>
          <t>Mär</t>
        </is>
      </c>
      <c r="T8" s="49" t="inlineStr">
        <is>
          <t>Apr</t>
        </is>
      </c>
      <c r="U8" s="49" t="inlineStr">
        <is>
          <t>Mai</t>
        </is>
      </c>
      <c r="V8" s="49" t="inlineStr">
        <is>
          <t>Jun</t>
        </is>
      </c>
      <c r="W8" s="49" t="inlineStr">
        <is>
          <t>Jul</t>
        </is>
      </c>
      <c r="X8" s="49" t="inlineStr">
        <is>
          <t>Aug</t>
        </is>
      </c>
      <c r="Y8" s="49" t="inlineStr">
        <is>
          <t>Sep</t>
        </is>
      </c>
      <c r="Z8" s="49" t="inlineStr">
        <is>
          <t>Okt</t>
        </is>
      </c>
      <c r="AA8" s="49" t="inlineStr">
        <is>
          <t>Nov</t>
        </is>
      </c>
      <c r="AB8" s="49" t="inlineStr">
        <is>
          <t>Dez</t>
        </is>
      </c>
      <c r="AC8" s="49" t="inlineStr">
        <is>
          <t>Summe</t>
        </is>
      </c>
      <c r="AD8" s="49" t="inlineStr">
        <is>
          <t>Rückstellungen
Gesamt</t>
        </is>
      </c>
    </row>
    <row r="9">
      <c r="A9" s="68">
        <f>Stammdaten!A9</f>
        <v/>
      </c>
      <c r="B9" s="69">
        <f>Stammdaten!B9</f>
        <v/>
      </c>
      <c r="C9" s="69">
        <f>Stammdaten!C9</f>
        <v/>
      </c>
      <c r="D9" s="40">
        <f>Selbstkosten!D9*$D$5</f>
        <v/>
      </c>
      <c r="E9" s="40">
        <f>Selbstkosten!E9*$D$5</f>
        <v/>
      </c>
      <c r="F9" s="40">
        <f>Selbstkosten!F9*$D$5</f>
        <v/>
      </c>
      <c r="G9" s="40">
        <f>Selbstkosten!G9*$D$5</f>
        <v/>
      </c>
      <c r="H9" s="40">
        <f>Selbstkosten!H9*$D$5</f>
        <v/>
      </c>
      <c r="I9" s="40">
        <f>Selbstkosten!I9*$D$5</f>
        <v/>
      </c>
      <c r="J9" s="40">
        <f>Selbstkosten!J9*$D$5</f>
        <v/>
      </c>
      <c r="K9" s="40">
        <f>Selbstkosten!K9*$D$5</f>
        <v/>
      </c>
      <c r="L9" s="40">
        <f>Selbstkosten!L9*$D$5</f>
        <v/>
      </c>
      <c r="M9" s="40">
        <f>Selbstkosten!M9*$D$5</f>
        <v/>
      </c>
      <c r="N9" s="40">
        <f>Selbstkosten!N9*$D$5</f>
        <v/>
      </c>
      <c r="O9" s="40">
        <f>Selbstkosten!O9*$D$5</f>
        <v/>
      </c>
      <c r="P9" s="28">
        <f>SUM(D9:O9)</f>
        <v/>
      </c>
      <c r="Q9" s="40">
        <f>Selbstkosten!D9*$D$6</f>
        <v/>
      </c>
      <c r="R9" s="40">
        <f>Selbstkosten!E9*$D$6</f>
        <v/>
      </c>
      <c r="S9" s="40">
        <f>Selbstkosten!F9*$D$6</f>
        <v/>
      </c>
      <c r="T9" s="40">
        <f>Selbstkosten!G9*$D$6</f>
        <v/>
      </c>
      <c r="U9" s="40">
        <f>Selbstkosten!H9*$D$6</f>
        <v/>
      </c>
      <c r="V9" s="40">
        <f>Selbstkosten!I9*$D$6</f>
        <v/>
      </c>
      <c r="W9" s="40">
        <f>Selbstkosten!J9*$D$6</f>
        <v/>
      </c>
      <c r="X9" s="40">
        <f>Selbstkosten!K9*$D$6</f>
        <v/>
      </c>
      <c r="Y9" s="40">
        <f>Selbstkosten!L9*$D$6</f>
        <v/>
      </c>
      <c r="Z9" s="40">
        <f>Selbstkosten!M9*$D$6</f>
        <v/>
      </c>
      <c r="AA9" s="40">
        <f>Selbstkosten!N9*$D$6</f>
        <v/>
      </c>
      <c r="AB9" s="40">
        <f>Selbstkosten!O9*$D$6</f>
        <v/>
      </c>
      <c r="AC9" s="28">
        <f>SUM(Q9:AB9)</f>
        <v/>
      </c>
      <c r="AD9" s="77">
        <f>P9+AC9</f>
        <v/>
      </c>
    </row>
    <row r="10">
      <c r="A10" s="68">
        <f>Stammdaten!A10</f>
        <v/>
      </c>
      <c r="B10" s="69">
        <f>Stammdaten!B10</f>
        <v/>
      </c>
      <c r="C10" s="69">
        <f>Stammdaten!C10</f>
        <v/>
      </c>
      <c r="D10" s="40">
        <f>Selbstkosten!D10*$D$5</f>
        <v/>
      </c>
      <c r="E10" s="40">
        <f>Selbstkosten!E10*$D$5</f>
        <v/>
      </c>
      <c r="F10" s="40">
        <f>Selbstkosten!F10*$D$5</f>
        <v/>
      </c>
      <c r="G10" s="40">
        <f>Selbstkosten!G10*$D$5</f>
        <v/>
      </c>
      <c r="H10" s="40">
        <f>Selbstkosten!H10*$D$5</f>
        <v/>
      </c>
      <c r="I10" s="40">
        <f>Selbstkosten!I10*$D$5</f>
        <v/>
      </c>
      <c r="J10" s="40">
        <f>Selbstkosten!J10*$D$5</f>
        <v/>
      </c>
      <c r="K10" s="40">
        <f>Selbstkosten!K10*$D$5</f>
        <v/>
      </c>
      <c r="L10" s="40">
        <f>Selbstkosten!L10*$D$5</f>
        <v/>
      </c>
      <c r="M10" s="40">
        <f>Selbstkosten!M10*$D$5</f>
        <v/>
      </c>
      <c r="N10" s="40">
        <f>Selbstkosten!N10*$D$5</f>
        <v/>
      </c>
      <c r="O10" s="40">
        <f>Selbstkosten!O10*$D$5</f>
        <v/>
      </c>
      <c r="P10" s="28">
        <f>SUM(D10:O10)</f>
        <v/>
      </c>
      <c r="Q10" s="40">
        <f>Selbstkosten!D10*$D$6</f>
        <v/>
      </c>
      <c r="R10" s="40">
        <f>Selbstkosten!E10*$D$6</f>
        <v/>
      </c>
      <c r="S10" s="40">
        <f>Selbstkosten!F10*$D$6</f>
        <v/>
      </c>
      <c r="T10" s="40">
        <f>Selbstkosten!G10*$D$6</f>
        <v/>
      </c>
      <c r="U10" s="40">
        <f>Selbstkosten!H10*$D$6</f>
        <v/>
      </c>
      <c r="V10" s="40">
        <f>Selbstkosten!I10*$D$6</f>
        <v/>
      </c>
      <c r="W10" s="40">
        <f>Selbstkosten!J10*$D$6</f>
        <v/>
      </c>
      <c r="X10" s="40">
        <f>Selbstkosten!K10*$D$6</f>
        <v/>
      </c>
      <c r="Y10" s="40">
        <f>Selbstkosten!L10*$D$6</f>
        <v/>
      </c>
      <c r="Z10" s="40">
        <f>Selbstkosten!M10*$D$6</f>
        <v/>
      </c>
      <c r="AA10" s="40">
        <f>Selbstkosten!N10*$D$6</f>
        <v/>
      </c>
      <c r="AB10" s="40">
        <f>Selbstkosten!O10*$D$6</f>
        <v/>
      </c>
      <c r="AC10" s="28">
        <f>SUM(Q10:AB10)</f>
        <v/>
      </c>
      <c r="AD10" s="77">
        <f>P10+AC10</f>
        <v/>
      </c>
    </row>
    <row r="11">
      <c r="A11" s="68">
        <f>Stammdaten!A11</f>
        <v/>
      </c>
      <c r="B11" s="69">
        <f>Stammdaten!B11</f>
        <v/>
      </c>
      <c r="C11" s="69">
        <f>Stammdaten!C11</f>
        <v/>
      </c>
      <c r="D11" s="40">
        <f>Selbstkosten!D11*$D$5</f>
        <v/>
      </c>
      <c r="E11" s="40">
        <f>Selbstkosten!E11*$D$5</f>
        <v/>
      </c>
      <c r="F11" s="40">
        <f>Selbstkosten!F11*$D$5</f>
        <v/>
      </c>
      <c r="G11" s="40">
        <f>Selbstkosten!G11*$D$5</f>
        <v/>
      </c>
      <c r="H11" s="40">
        <f>Selbstkosten!H11*$D$5</f>
        <v/>
      </c>
      <c r="I11" s="40">
        <f>Selbstkosten!I11*$D$5</f>
        <v/>
      </c>
      <c r="J11" s="40">
        <f>Selbstkosten!J11*$D$5</f>
        <v/>
      </c>
      <c r="K11" s="40">
        <f>Selbstkosten!K11*$D$5</f>
        <v/>
      </c>
      <c r="L11" s="40">
        <f>Selbstkosten!L11*$D$5</f>
        <v/>
      </c>
      <c r="M11" s="40">
        <f>Selbstkosten!M11*$D$5</f>
        <v/>
      </c>
      <c r="N11" s="40">
        <f>Selbstkosten!N11*$D$5</f>
        <v/>
      </c>
      <c r="O11" s="40">
        <f>Selbstkosten!O11*$D$5</f>
        <v/>
      </c>
      <c r="P11" s="28">
        <f>SUM(D11:O11)</f>
        <v/>
      </c>
      <c r="Q11" s="40">
        <f>Selbstkosten!D11*$D$6</f>
        <v/>
      </c>
      <c r="R11" s="40">
        <f>Selbstkosten!E11*$D$6</f>
        <v/>
      </c>
      <c r="S11" s="40">
        <f>Selbstkosten!F11*$D$6</f>
        <v/>
      </c>
      <c r="T11" s="40">
        <f>Selbstkosten!G11*$D$6</f>
        <v/>
      </c>
      <c r="U11" s="40">
        <f>Selbstkosten!H11*$D$6</f>
        <v/>
      </c>
      <c r="V11" s="40">
        <f>Selbstkosten!I11*$D$6</f>
        <v/>
      </c>
      <c r="W11" s="40">
        <f>Selbstkosten!J11*$D$6</f>
        <v/>
      </c>
      <c r="X11" s="40">
        <f>Selbstkosten!K11*$D$6</f>
        <v/>
      </c>
      <c r="Y11" s="40">
        <f>Selbstkosten!L11*$D$6</f>
        <v/>
      </c>
      <c r="Z11" s="40">
        <f>Selbstkosten!M11*$D$6</f>
        <v/>
      </c>
      <c r="AA11" s="40">
        <f>Selbstkosten!N11*$D$6</f>
        <v/>
      </c>
      <c r="AB11" s="40">
        <f>Selbstkosten!O11*$D$6</f>
        <v/>
      </c>
      <c r="AC11" s="28">
        <f>SUM(Q11:AB11)</f>
        <v/>
      </c>
      <c r="AD11" s="77">
        <f>P11+AC11</f>
        <v/>
      </c>
    </row>
    <row r="12">
      <c r="A12" s="68">
        <f>Stammdaten!A12</f>
        <v/>
      </c>
      <c r="B12" s="69">
        <f>Stammdaten!B12</f>
        <v/>
      </c>
      <c r="C12" s="69">
        <f>Stammdaten!C12</f>
        <v/>
      </c>
      <c r="D12" s="40">
        <f>Selbstkosten!D12*$D$5</f>
        <v/>
      </c>
      <c r="E12" s="40">
        <f>Selbstkosten!E12*$D$5</f>
        <v/>
      </c>
      <c r="F12" s="40">
        <f>Selbstkosten!F12*$D$5</f>
        <v/>
      </c>
      <c r="G12" s="40">
        <f>Selbstkosten!G12*$D$5</f>
        <v/>
      </c>
      <c r="H12" s="40">
        <f>Selbstkosten!H12*$D$5</f>
        <v/>
      </c>
      <c r="I12" s="40">
        <f>Selbstkosten!I12*$D$5</f>
        <v/>
      </c>
      <c r="J12" s="40">
        <f>Selbstkosten!J12*$D$5</f>
        <v/>
      </c>
      <c r="K12" s="40">
        <f>Selbstkosten!K12*$D$5</f>
        <v/>
      </c>
      <c r="L12" s="40">
        <f>Selbstkosten!L12*$D$5</f>
        <v/>
      </c>
      <c r="M12" s="40">
        <f>Selbstkosten!M12*$D$5</f>
        <v/>
      </c>
      <c r="N12" s="40">
        <f>Selbstkosten!N12*$D$5</f>
        <v/>
      </c>
      <c r="O12" s="40">
        <f>Selbstkosten!O12*$D$5</f>
        <v/>
      </c>
      <c r="P12" s="28">
        <f>SUM(D12:O12)</f>
        <v/>
      </c>
      <c r="Q12" s="40">
        <f>Selbstkosten!D12*$D$6</f>
        <v/>
      </c>
      <c r="R12" s="40">
        <f>Selbstkosten!E12*$D$6</f>
        <v/>
      </c>
      <c r="S12" s="40">
        <f>Selbstkosten!F12*$D$6</f>
        <v/>
      </c>
      <c r="T12" s="40">
        <f>Selbstkosten!G12*$D$6</f>
        <v/>
      </c>
      <c r="U12" s="40">
        <f>Selbstkosten!H12*$D$6</f>
        <v/>
      </c>
      <c r="V12" s="40">
        <f>Selbstkosten!I12*$D$6</f>
        <v/>
      </c>
      <c r="W12" s="40">
        <f>Selbstkosten!J12*$D$6</f>
        <v/>
      </c>
      <c r="X12" s="40">
        <f>Selbstkosten!K12*$D$6</f>
        <v/>
      </c>
      <c r="Y12" s="40">
        <f>Selbstkosten!L12*$D$6</f>
        <v/>
      </c>
      <c r="Z12" s="40">
        <f>Selbstkosten!M12*$D$6</f>
        <v/>
      </c>
      <c r="AA12" s="40">
        <f>Selbstkosten!N12*$D$6</f>
        <v/>
      </c>
      <c r="AB12" s="40">
        <f>Selbstkosten!O12*$D$6</f>
        <v/>
      </c>
      <c r="AC12" s="28">
        <f>SUM(Q12:AB12)</f>
        <v/>
      </c>
      <c r="AD12" s="77">
        <f>P12+AC12</f>
        <v/>
      </c>
    </row>
    <row r="13">
      <c r="A13" s="68">
        <f>Stammdaten!A13</f>
        <v/>
      </c>
      <c r="B13" s="69">
        <f>Stammdaten!B13</f>
        <v/>
      </c>
      <c r="C13" s="69">
        <f>Stammdaten!C13</f>
        <v/>
      </c>
      <c r="D13" s="40">
        <f>Selbstkosten!D13*$D$5</f>
        <v/>
      </c>
      <c r="E13" s="40">
        <f>Selbstkosten!E13*$D$5</f>
        <v/>
      </c>
      <c r="F13" s="40">
        <f>Selbstkosten!F13*$D$5</f>
        <v/>
      </c>
      <c r="G13" s="40">
        <f>Selbstkosten!G13*$D$5</f>
        <v/>
      </c>
      <c r="H13" s="40">
        <f>Selbstkosten!H13*$D$5</f>
        <v/>
      </c>
      <c r="I13" s="40">
        <f>Selbstkosten!I13*$D$5</f>
        <v/>
      </c>
      <c r="J13" s="40">
        <f>Selbstkosten!J13*$D$5</f>
        <v/>
      </c>
      <c r="K13" s="40">
        <f>Selbstkosten!K13*$D$5</f>
        <v/>
      </c>
      <c r="L13" s="40">
        <f>Selbstkosten!L13*$D$5</f>
        <v/>
      </c>
      <c r="M13" s="40">
        <f>Selbstkosten!M13*$D$5</f>
        <v/>
      </c>
      <c r="N13" s="40">
        <f>Selbstkosten!N13*$D$5</f>
        <v/>
      </c>
      <c r="O13" s="40">
        <f>Selbstkosten!O13*$D$5</f>
        <v/>
      </c>
      <c r="P13" s="28">
        <f>SUM(D13:O13)</f>
        <v/>
      </c>
      <c r="Q13" s="40">
        <f>Selbstkosten!D13*$D$6</f>
        <v/>
      </c>
      <c r="R13" s="40">
        <f>Selbstkosten!E13*$D$6</f>
        <v/>
      </c>
      <c r="S13" s="40">
        <f>Selbstkosten!F13*$D$6</f>
        <v/>
      </c>
      <c r="T13" s="40">
        <f>Selbstkosten!G13*$D$6</f>
        <v/>
      </c>
      <c r="U13" s="40">
        <f>Selbstkosten!H13*$D$6</f>
        <v/>
      </c>
      <c r="V13" s="40">
        <f>Selbstkosten!I13*$D$6</f>
        <v/>
      </c>
      <c r="W13" s="40">
        <f>Selbstkosten!J13*$D$6</f>
        <v/>
      </c>
      <c r="X13" s="40">
        <f>Selbstkosten!K13*$D$6</f>
        <v/>
      </c>
      <c r="Y13" s="40">
        <f>Selbstkosten!L13*$D$6</f>
        <v/>
      </c>
      <c r="Z13" s="40">
        <f>Selbstkosten!M13*$D$6</f>
        <v/>
      </c>
      <c r="AA13" s="40">
        <f>Selbstkosten!N13*$D$6</f>
        <v/>
      </c>
      <c r="AB13" s="40">
        <f>Selbstkosten!O13*$D$6</f>
        <v/>
      </c>
      <c r="AC13" s="28">
        <f>SUM(Q13:AB13)</f>
        <v/>
      </c>
      <c r="AD13" s="77">
        <f>P13+AC13</f>
        <v/>
      </c>
    </row>
    <row r="14">
      <c r="A14" s="68">
        <f>Stammdaten!A14</f>
        <v/>
      </c>
      <c r="B14" s="69">
        <f>Stammdaten!B14</f>
        <v/>
      </c>
      <c r="C14" s="69">
        <f>Stammdaten!C14</f>
        <v/>
      </c>
      <c r="D14" s="40">
        <f>Selbstkosten!D14*$D$5</f>
        <v/>
      </c>
      <c r="E14" s="40">
        <f>Selbstkosten!E14*$D$5</f>
        <v/>
      </c>
      <c r="F14" s="40">
        <f>Selbstkosten!F14*$D$5</f>
        <v/>
      </c>
      <c r="G14" s="40">
        <f>Selbstkosten!G14*$D$5</f>
        <v/>
      </c>
      <c r="H14" s="40">
        <f>Selbstkosten!H14*$D$5</f>
        <v/>
      </c>
      <c r="I14" s="40">
        <f>Selbstkosten!I14*$D$5</f>
        <v/>
      </c>
      <c r="J14" s="40">
        <f>Selbstkosten!J14*$D$5</f>
        <v/>
      </c>
      <c r="K14" s="40">
        <f>Selbstkosten!K14*$D$5</f>
        <v/>
      </c>
      <c r="L14" s="40">
        <f>Selbstkosten!L14*$D$5</f>
        <v/>
      </c>
      <c r="M14" s="40">
        <f>Selbstkosten!M14*$D$5</f>
        <v/>
      </c>
      <c r="N14" s="40">
        <f>Selbstkosten!N14*$D$5</f>
        <v/>
      </c>
      <c r="O14" s="40">
        <f>Selbstkosten!O14*$D$5</f>
        <v/>
      </c>
      <c r="P14" s="28">
        <f>SUM(D14:O14)</f>
        <v/>
      </c>
      <c r="Q14" s="40">
        <f>Selbstkosten!D14*$D$6</f>
        <v/>
      </c>
      <c r="R14" s="40">
        <f>Selbstkosten!E14*$D$6</f>
        <v/>
      </c>
      <c r="S14" s="40">
        <f>Selbstkosten!F14*$D$6</f>
        <v/>
      </c>
      <c r="T14" s="40">
        <f>Selbstkosten!G14*$D$6</f>
        <v/>
      </c>
      <c r="U14" s="40">
        <f>Selbstkosten!H14*$D$6</f>
        <v/>
      </c>
      <c r="V14" s="40">
        <f>Selbstkosten!I14*$D$6</f>
        <v/>
      </c>
      <c r="W14" s="40">
        <f>Selbstkosten!J14*$D$6</f>
        <v/>
      </c>
      <c r="X14" s="40">
        <f>Selbstkosten!K14*$D$6</f>
        <v/>
      </c>
      <c r="Y14" s="40">
        <f>Selbstkosten!L14*$D$6</f>
        <v/>
      </c>
      <c r="Z14" s="40">
        <f>Selbstkosten!M14*$D$6</f>
        <v/>
      </c>
      <c r="AA14" s="40">
        <f>Selbstkosten!N14*$D$6</f>
        <v/>
      </c>
      <c r="AB14" s="40">
        <f>Selbstkosten!O14*$D$6</f>
        <v/>
      </c>
      <c r="AC14" s="28">
        <f>SUM(Q14:AB14)</f>
        <v/>
      </c>
      <c r="AD14" s="77">
        <f>P14+AC14</f>
        <v/>
      </c>
    </row>
    <row r="15">
      <c r="A15" s="68">
        <f>Stammdaten!A15</f>
        <v/>
      </c>
      <c r="B15" s="69">
        <f>Stammdaten!B15</f>
        <v/>
      </c>
      <c r="C15" s="69">
        <f>Stammdaten!C15</f>
        <v/>
      </c>
      <c r="D15" s="40">
        <f>Selbstkosten!D15*$D$5</f>
        <v/>
      </c>
      <c r="E15" s="40">
        <f>Selbstkosten!E15*$D$5</f>
        <v/>
      </c>
      <c r="F15" s="40">
        <f>Selbstkosten!F15*$D$5</f>
        <v/>
      </c>
      <c r="G15" s="40">
        <f>Selbstkosten!G15*$D$5</f>
        <v/>
      </c>
      <c r="H15" s="40">
        <f>Selbstkosten!H15*$D$5</f>
        <v/>
      </c>
      <c r="I15" s="40">
        <f>Selbstkosten!I15*$D$5</f>
        <v/>
      </c>
      <c r="J15" s="40">
        <f>Selbstkosten!J15*$D$5</f>
        <v/>
      </c>
      <c r="K15" s="40">
        <f>Selbstkosten!K15*$D$5</f>
        <v/>
      </c>
      <c r="L15" s="40">
        <f>Selbstkosten!L15*$D$5</f>
        <v/>
      </c>
      <c r="M15" s="40">
        <f>Selbstkosten!M15*$D$5</f>
        <v/>
      </c>
      <c r="N15" s="40">
        <f>Selbstkosten!N15*$D$5</f>
        <v/>
      </c>
      <c r="O15" s="40">
        <f>Selbstkosten!O15*$D$5</f>
        <v/>
      </c>
      <c r="P15" s="28">
        <f>SUM(D15:O15)</f>
        <v/>
      </c>
      <c r="Q15" s="40">
        <f>Selbstkosten!D15*$D$6</f>
        <v/>
      </c>
      <c r="R15" s="40">
        <f>Selbstkosten!E15*$D$6</f>
        <v/>
      </c>
      <c r="S15" s="40">
        <f>Selbstkosten!F15*$D$6</f>
        <v/>
      </c>
      <c r="T15" s="40">
        <f>Selbstkosten!G15*$D$6</f>
        <v/>
      </c>
      <c r="U15" s="40">
        <f>Selbstkosten!H15*$D$6</f>
        <v/>
      </c>
      <c r="V15" s="40">
        <f>Selbstkosten!I15*$D$6</f>
        <v/>
      </c>
      <c r="W15" s="40">
        <f>Selbstkosten!J15*$D$6</f>
        <v/>
      </c>
      <c r="X15" s="40">
        <f>Selbstkosten!K15*$D$6</f>
        <v/>
      </c>
      <c r="Y15" s="40">
        <f>Selbstkosten!L15*$D$6</f>
        <v/>
      </c>
      <c r="Z15" s="40">
        <f>Selbstkosten!M15*$D$6</f>
        <v/>
      </c>
      <c r="AA15" s="40">
        <f>Selbstkosten!N15*$D$6</f>
        <v/>
      </c>
      <c r="AB15" s="40">
        <f>Selbstkosten!O15*$D$6</f>
        <v/>
      </c>
      <c r="AC15" s="28">
        <f>SUM(Q15:AB15)</f>
        <v/>
      </c>
      <c r="AD15" s="77">
        <f>P15+AC15</f>
        <v/>
      </c>
    </row>
    <row r="16">
      <c r="A16" s="68">
        <f>Stammdaten!A16</f>
        <v/>
      </c>
      <c r="B16" s="69">
        <f>Stammdaten!B16</f>
        <v/>
      </c>
      <c r="C16" s="69">
        <f>Stammdaten!C16</f>
        <v/>
      </c>
      <c r="D16" s="40">
        <f>Selbstkosten!D16*$D$5</f>
        <v/>
      </c>
      <c r="E16" s="40">
        <f>Selbstkosten!E16*$D$5</f>
        <v/>
      </c>
      <c r="F16" s="40">
        <f>Selbstkosten!F16*$D$5</f>
        <v/>
      </c>
      <c r="G16" s="40">
        <f>Selbstkosten!G16*$D$5</f>
        <v/>
      </c>
      <c r="H16" s="40">
        <f>Selbstkosten!H16*$D$5</f>
        <v/>
      </c>
      <c r="I16" s="40">
        <f>Selbstkosten!I16*$D$5</f>
        <v/>
      </c>
      <c r="J16" s="40">
        <f>Selbstkosten!J16*$D$5</f>
        <v/>
      </c>
      <c r="K16" s="40">
        <f>Selbstkosten!K16*$D$5</f>
        <v/>
      </c>
      <c r="L16" s="40">
        <f>Selbstkosten!L16*$D$5</f>
        <v/>
      </c>
      <c r="M16" s="40">
        <f>Selbstkosten!M16*$D$5</f>
        <v/>
      </c>
      <c r="N16" s="40">
        <f>Selbstkosten!N16*$D$5</f>
        <v/>
      </c>
      <c r="O16" s="40">
        <f>Selbstkosten!O16*$D$5</f>
        <v/>
      </c>
      <c r="P16" s="28">
        <f>SUM(D16:O16)</f>
        <v/>
      </c>
      <c r="Q16" s="40">
        <f>Selbstkosten!D16*$D$6</f>
        <v/>
      </c>
      <c r="R16" s="40">
        <f>Selbstkosten!E16*$D$6</f>
        <v/>
      </c>
      <c r="S16" s="40">
        <f>Selbstkosten!F16*$D$6</f>
        <v/>
      </c>
      <c r="T16" s="40">
        <f>Selbstkosten!G16*$D$6</f>
        <v/>
      </c>
      <c r="U16" s="40">
        <f>Selbstkosten!H16*$D$6</f>
        <v/>
      </c>
      <c r="V16" s="40">
        <f>Selbstkosten!I16*$D$6</f>
        <v/>
      </c>
      <c r="W16" s="40">
        <f>Selbstkosten!J16*$D$6</f>
        <v/>
      </c>
      <c r="X16" s="40">
        <f>Selbstkosten!K16*$D$6</f>
        <v/>
      </c>
      <c r="Y16" s="40">
        <f>Selbstkosten!L16*$D$6</f>
        <v/>
      </c>
      <c r="Z16" s="40">
        <f>Selbstkosten!M16*$D$6</f>
        <v/>
      </c>
      <c r="AA16" s="40">
        <f>Selbstkosten!N16*$D$6</f>
        <v/>
      </c>
      <c r="AB16" s="40">
        <f>Selbstkosten!O16*$D$6</f>
        <v/>
      </c>
      <c r="AC16" s="28">
        <f>SUM(Q16:AB16)</f>
        <v/>
      </c>
      <c r="AD16" s="77">
        <f>P16+AC16</f>
        <v/>
      </c>
    </row>
    <row r="17">
      <c r="A17" s="68">
        <f>Stammdaten!A17</f>
        <v/>
      </c>
      <c r="B17" s="69">
        <f>Stammdaten!B17</f>
        <v/>
      </c>
      <c r="C17" s="69">
        <f>Stammdaten!C17</f>
        <v/>
      </c>
      <c r="D17" s="40">
        <f>Selbstkosten!D17*$D$5</f>
        <v/>
      </c>
      <c r="E17" s="40">
        <f>Selbstkosten!E17*$D$5</f>
        <v/>
      </c>
      <c r="F17" s="40">
        <f>Selbstkosten!F17*$D$5</f>
        <v/>
      </c>
      <c r="G17" s="40">
        <f>Selbstkosten!G17*$D$5</f>
        <v/>
      </c>
      <c r="H17" s="40">
        <f>Selbstkosten!H17*$D$5</f>
        <v/>
      </c>
      <c r="I17" s="40">
        <f>Selbstkosten!I17*$D$5</f>
        <v/>
      </c>
      <c r="J17" s="40">
        <f>Selbstkosten!J17*$D$5</f>
        <v/>
      </c>
      <c r="K17" s="40">
        <f>Selbstkosten!K17*$D$5</f>
        <v/>
      </c>
      <c r="L17" s="40">
        <f>Selbstkosten!L17*$D$5</f>
        <v/>
      </c>
      <c r="M17" s="40">
        <f>Selbstkosten!M17*$D$5</f>
        <v/>
      </c>
      <c r="N17" s="40">
        <f>Selbstkosten!N17*$D$5</f>
        <v/>
      </c>
      <c r="O17" s="40">
        <f>Selbstkosten!O17*$D$5</f>
        <v/>
      </c>
      <c r="P17" s="28">
        <f>SUM(D17:O17)</f>
        <v/>
      </c>
      <c r="Q17" s="40">
        <f>Selbstkosten!D17*$D$6</f>
        <v/>
      </c>
      <c r="R17" s="40">
        <f>Selbstkosten!E17*$D$6</f>
        <v/>
      </c>
      <c r="S17" s="40">
        <f>Selbstkosten!F17*$D$6</f>
        <v/>
      </c>
      <c r="T17" s="40">
        <f>Selbstkosten!G17*$D$6</f>
        <v/>
      </c>
      <c r="U17" s="40">
        <f>Selbstkosten!H17*$D$6</f>
        <v/>
      </c>
      <c r="V17" s="40">
        <f>Selbstkosten!I17*$D$6</f>
        <v/>
      </c>
      <c r="W17" s="40">
        <f>Selbstkosten!J17*$D$6</f>
        <v/>
      </c>
      <c r="X17" s="40">
        <f>Selbstkosten!K17*$D$6</f>
        <v/>
      </c>
      <c r="Y17" s="40">
        <f>Selbstkosten!L17*$D$6</f>
        <v/>
      </c>
      <c r="Z17" s="40">
        <f>Selbstkosten!M17*$D$6</f>
        <v/>
      </c>
      <c r="AA17" s="40">
        <f>Selbstkosten!N17*$D$6</f>
        <v/>
      </c>
      <c r="AB17" s="40">
        <f>Selbstkosten!O17*$D$6</f>
        <v/>
      </c>
      <c r="AC17" s="28">
        <f>SUM(Q17:AB17)</f>
        <v/>
      </c>
      <c r="AD17" s="77">
        <f>P17+AC17</f>
        <v/>
      </c>
    </row>
    <row r="18">
      <c r="A18" s="68">
        <f>Stammdaten!A18</f>
        <v/>
      </c>
      <c r="B18" s="69">
        <f>Stammdaten!B18</f>
        <v/>
      </c>
      <c r="C18" s="69">
        <f>Stammdaten!C18</f>
        <v/>
      </c>
      <c r="D18" s="40">
        <f>Selbstkosten!D18*$D$5</f>
        <v/>
      </c>
      <c r="E18" s="40">
        <f>Selbstkosten!E18*$D$5</f>
        <v/>
      </c>
      <c r="F18" s="40">
        <f>Selbstkosten!F18*$D$5</f>
        <v/>
      </c>
      <c r="G18" s="40">
        <f>Selbstkosten!G18*$D$5</f>
        <v/>
      </c>
      <c r="H18" s="40">
        <f>Selbstkosten!H18*$D$5</f>
        <v/>
      </c>
      <c r="I18" s="40">
        <f>Selbstkosten!I18*$D$5</f>
        <v/>
      </c>
      <c r="J18" s="40">
        <f>Selbstkosten!J18*$D$5</f>
        <v/>
      </c>
      <c r="K18" s="40">
        <f>Selbstkosten!K18*$D$5</f>
        <v/>
      </c>
      <c r="L18" s="40">
        <f>Selbstkosten!L18*$D$5</f>
        <v/>
      </c>
      <c r="M18" s="40">
        <f>Selbstkosten!M18*$D$5</f>
        <v/>
      </c>
      <c r="N18" s="40">
        <f>Selbstkosten!N18*$D$5</f>
        <v/>
      </c>
      <c r="O18" s="40">
        <f>Selbstkosten!O18*$D$5</f>
        <v/>
      </c>
      <c r="P18" s="28">
        <f>SUM(D18:O18)</f>
        <v/>
      </c>
      <c r="Q18" s="40">
        <f>Selbstkosten!D18*$D$6</f>
        <v/>
      </c>
      <c r="R18" s="40">
        <f>Selbstkosten!E18*$D$6</f>
        <v/>
      </c>
      <c r="S18" s="40">
        <f>Selbstkosten!F18*$D$6</f>
        <v/>
      </c>
      <c r="T18" s="40">
        <f>Selbstkosten!G18*$D$6</f>
        <v/>
      </c>
      <c r="U18" s="40">
        <f>Selbstkosten!H18*$D$6</f>
        <v/>
      </c>
      <c r="V18" s="40">
        <f>Selbstkosten!I18*$D$6</f>
        <v/>
      </c>
      <c r="W18" s="40">
        <f>Selbstkosten!J18*$D$6</f>
        <v/>
      </c>
      <c r="X18" s="40">
        <f>Selbstkosten!K18*$D$6</f>
        <v/>
      </c>
      <c r="Y18" s="40">
        <f>Selbstkosten!L18*$D$6</f>
        <v/>
      </c>
      <c r="Z18" s="40">
        <f>Selbstkosten!M18*$D$6</f>
        <v/>
      </c>
      <c r="AA18" s="40">
        <f>Selbstkosten!N18*$D$6</f>
        <v/>
      </c>
      <c r="AB18" s="40">
        <f>Selbstkosten!O18*$D$6</f>
        <v/>
      </c>
      <c r="AC18" s="28">
        <f>SUM(Q18:AB18)</f>
        <v/>
      </c>
      <c r="AD18" s="77">
        <f>P18+AC18</f>
        <v/>
      </c>
    </row>
    <row r="19">
      <c r="A19" s="71">
        <f>Stammdaten!A19</f>
        <v/>
      </c>
      <c r="B19" s="72">
        <f>Stammdaten!B19</f>
        <v/>
      </c>
      <c r="C19" s="72">
        <f>Stammdaten!C19</f>
        <v/>
      </c>
      <c r="D19" s="40">
        <f>Selbstkosten!D19*$D$5</f>
        <v/>
      </c>
      <c r="E19" s="40">
        <f>Selbstkosten!E19*$D$5</f>
        <v/>
      </c>
      <c r="F19" s="40">
        <f>Selbstkosten!F19*$D$5</f>
        <v/>
      </c>
      <c r="G19" s="40">
        <f>Selbstkosten!G19*$D$5</f>
        <v/>
      </c>
      <c r="H19" s="40">
        <f>Selbstkosten!H19*$D$5</f>
        <v/>
      </c>
      <c r="I19" s="40">
        <f>Selbstkosten!I19*$D$5</f>
        <v/>
      </c>
      <c r="J19" s="40">
        <f>Selbstkosten!J19*$D$5</f>
        <v/>
      </c>
      <c r="K19" s="40">
        <f>Selbstkosten!K19*$D$5</f>
        <v/>
      </c>
      <c r="L19" s="40">
        <f>Selbstkosten!L19*$D$5</f>
        <v/>
      </c>
      <c r="M19" s="40">
        <f>Selbstkosten!M19*$D$5</f>
        <v/>
      </c>
      <c r="N19" s="40">
        <f>Selbstkosten!N19*$D$5</f>
        <v/>
      </c>
      <c r="O19" s="40">
        <f>Selbstkosten!O19*$D$5</f>
        <v/>
      </c>
      <c r="P19" s="28">
        <f>SUM(D19:O19)</f>
        <v/>
      </c>
      <c r="Q19" s="40">
        <f>Selbstkosten!D19*$D$6</f>
        <v/>
      </c>
      <c r="R19" s="40">
        <f>Selbstkosten!E19*$D$6</f>
        <v/>
      </c>
      <c r="S19" s="40">
        <f>Selbstkosten!F19*$D$6</f>
        <v/>
      </c>
      <c r="T19" s="40">
        <f>Selbstkosten!G19*$D$6</f>
        <v/>
      </c>
      <c r="U19" s="40">
        <f>Selbstkosten!H19*$D$6</f>
        <v/>
      </c>
      <c r="V19" s="40">
        <f>Selbstkosten!I19*$D$6</f>
        <v/>
      </c>
      <c r="W19" s="40">
        <f>Selbstkosten!J19*$D$6</f>
        <v/>
      </c>
      <c r="X19" s="40">
        <f>Selbstkosten!K19*$D$6</f>
        <v/>
      </c>
      <c r="Y19" s="40">
        <f>Selbstkosten!L19*$D$6</f>
        <v/>
      </c>
      <c r="Z19" s="40">
        <f>Selbstkosten!M19*$D$6</f>
        <v/>
      </c>
      <c r="AA19" s="40">
        <f>Selbstkosten!N19*$D$6</f>
        <v/>
      </c>
      <c r="AB19" s="40">
        <f>Selbstkosten!O19*$D$6</f>
        <v/>
      </c>
      <c r="AC19" s="28">
        <f>SUM(Q19:AB19)</f>
        <v/>
      </c>
      <c r="AD19" s="77">
        <f>P19+AC19</f>
        <v/>
      </c>
    </row>
    <row r="20">
      <c r="A20" s="71">
        <f>Stammdaten!A20</f>
        <v/>
      </c>
      <c r="B20" s="72">
        <f>Stammdaten!B20</f>
        <v/>
      </c>
      <c r="C20" s="72">
        <f>Stammdaten!C20</f>
        <v/>
      </c>
      <c r="D20" s="40">
        <f>Selbstkosten!D20*$D$5</f>
        <v/>
      </c>
      <c r="E20" s="40">
        <f>Selbstkosten!E20*$D$5</f>
        <v/>
      </c>
      <c r="F20" s="40">
        <f>Selbstkosten!F20*$D$5</f>
        <v/>
      </c>
      <c r="G20" s="40">
        <f>Selbstkosten!G20*$D$5</f>
        <v/>
      </c>
      <c r="H20" s="40">
        <f>Selbstkosten!H20*$D$5</f>
        <v/>
      </c>
      <c r="I20" s="40">
        <f>Selbstkosten!I20*$D$5</f>
        <v/>
      </c>
      <c r="J20" s="40">
        <f>Selbstkosten!J20*$D$5</f>
        <v/>
      </c>
      <c r="K20" s="40">
        <f>Selbstkosten!K20*$D$5</f>
        <v/>
      </c>
      <c r="L20" s="40">
        <f>Selbstkosten!L20*$D$5</f>
        <v/>
      </c>
      <c r="M20" s="40">
        <f>Selbstkosten!M20*$D$5</f>
        <v/>
      </c>
      <c r="N20" s="40">
        <f>Selbstkosten!N20*$D$5</f>
        <v/>
      </c>
      <c r="O20" s="40">
        <f>Selbstkosten!O20*$D$5</f>
        <v/>
      </c>
      <c r="P20" s="28">
        <f>SUM(D20:O20)</f>
        <v/>
      </c>
      <c r="Q20" s="40">
        <f>Selbstkosten!D20*$D$6</f>
        <v/>
      </c>
      <c r="R20" s="40">
        <f>Selbstkosten!E20*$D$6</f>
        <v/>
      </c>
      <c r="S20" s="40">
        <f>Selbstkosten!F20*$D$6</f>
        <v/>
      </c>
      <c r="T20" s="40">
        <f>Selbstkosten!G20*$D$6</f>
        <v/>
      </c>
      <c r="U20" s="40">
        <f>Selbstkosten!H20*$D$6</f>
        <v/>
      </c>
      <c r="V20" s="40">
        <f>Selbstkosten!I20*$D$6</f>
        <v/>
      </c>
      <c r="W20" s="40">
        <f>Selbstkosten!J20*$D$6</f>
        <v/>
      </c>
      <c r="X20" s="40">
        <f>Selbstkosten!K20*$D$6</f>
        <v/>
      </c>
      <c r="Y20" s="40">
        <f>Selbstkosten!L20*$D$6</f>
        <v/>
      </c>
      <c r="Z20" s="40">
        <f>Selbstkosten!M20*$D$6</f>
        <v/>
      </c>
      <c r="AA20" s="40">
        <f>Selbstkosten!N20*$D$6</f>
        <v/>
      </c>
      <c r="AB20" s="40">
        <f>Selbstkosten!O20*$D$6</f>
        <v/>
      </c>
      <c r="AC20" s="28">
        <f>SUM(Q20:AB20)</f>
        <v/>
      </c>
      <c r="AD20" s="77">
        <f>P20+AC20</f>
        <v/>
      </c>
    </row>
    <row r="21">
      <c r="A21" s="71">
        <f>Stammdaten!A21</f>
        <v/>
      </c>
      <c r="B21" s="72">
        <f>Stammdaten!B21</f>
        <v/>
      </c>
      <c r="C21" s="72">
        <f>Stammdaten!C21</f>
        <v/>
      </c>
      <c r="D21" s="40">
        <f>Selbstkosten!D21*$D$5</f>
        <v/>
      </c>
      <c r="E21" s="40">
        <f>Selbstkosten!E21*$D$5</f>
        <v/>
      </c>
      <c r="F21" s="40">
        <f>Selbstkosten!F21*$D$5</f>
        <v/>
      </c>
      <c r="G21" s="40">
        <f>Selbstkosten!G21*$D$5</f>
        <v/>
      </c>
      <c r="H21" s="40">
        <f>Selbstkosten!H21*$D$5</f>
        <v/>
      </c>
      <c r="I21" s="40">
        <f>Selbstkosten!I21*$D$5</f>
        <v/>
      </c>
      <c r="J21" s="40">
        <f>Selbstkosten!J21*$D$5</f>
        <v/>
      </c>
      <c r="K21" s="40">
        <f>Selbstkosten!K21*$D$5</f>
        <v/>
      </c>
      <c r="L21" s="40">
        <f>Selbstkosten!L21*$D$5</f>
        <v/>
      </c>
      <c r="M21" s="40">
        <f>Selbstkosten!M21*$D$5</f>
        <v/>
      </c>
      <c r="N21" s="40">
        <f>Selbstkosten!N21*$D$5</f>
        <v/>
      </c>
      <c r="O21" s="40">
        <f>Selbstkosten!O21*$D$5</f>
        <v/>
      </c>
      <c r="P21" s="28">
        <f>SUM(D21:O21)</f>
        <v/>
      </c>
      <c r="Q21" s="40">
        <f>Selbstkosten!D21*$D$6</f>
        <v/>
      </c>
      <c r="R21" s="40">
        <f>Selbstkosten!E21*$D$6</f>
        <v/>
      </c>
      <c r="S21" s="40">
        <f>Selbstkosten!F21*$D$6</f>
        <v/>
      </c>
      <c r="T21" s="40">
        <f>Selbstkosten!G21*$D$6</f>
        <v/>
      </c>
      <c r="U21" s="40">
        <f>Selbstkosten!H21*$D$6</f>
        <v/>
      </c>
      <c r="V21" s="40">
        <f>Selbstkosten!I21*$D$6</f>
        <v/>
      </c>
      <c r="W21" s="40">
        <f>Selbstkosten!J21*$D$6</f>
        <v/>
      </c>
      <c r="X21" s="40">
        <f>Selbstkosten!K21*$D$6</f>
        <v/>
      </c>
      <c r="Y21" s="40">
        <f>Selbstkosten!L21*$D$6</f>
        <v/>
      </c>
      <c r="Z21" s="40">
        <f>Selbstkosten!M21*$D$6</f>
        <v/>
      </c>
      <c r="AA21" s="40">
        <f>Selbstkosten!N21*$D$6</f>
        <v/>
      </c>
      <c r="AB21" s="40">
        <f>Selbstkosten!O21*$D$6</f>
        <v/>
      </c>
      <c r="AC21" s="28">
        <f>SUM(Q21:AB21)</f>
        <v/>
      </c>
      <c r="AD21" s="77">
        <f>P21+AC21</f>
        <v/>
      </c>
    </row>
    <row r="22">
      <c r="A22" s="71">
        <f>Stammdaten!A22</f>
        <v/>
      </c>
      <c r="B22" s="72">
        <f>Stammdaten!B22</f>
        <v/>
      </c>
      <c r="C22" s="72">
        <f>Stammdaten!C22</f>
        <v/>
      </c>
      <c r="D22" s="40">
        <f>Selbstkosten!D22*$D$5</f>
        <v/>
      </c>
      <c r="E22" s="40">
        <f>Selbstkosten!E22*$D$5</f>
        <v/>
      </c>
      <c r="F22" s="40">
        <f>Selbstkosten!F22*$D$5</f>
        <v/>
      </c>
      <c r="G22" s="40">
        <f>Selbstkosten!G22*$D$5</f>
        <v/>
      </c>
      <c r="H22" s="40">
        <f>Selbstkosten!H22*$D$5</f>
        <v/>
      </c>
      <c r="I22" s="40">
        <f>Selbstkosten!I22*$D$5</f>
        <v/>
      </c>
      <c r="J22" s="40">
        <f>Selbstkosten!J22*$D$5</f>
        <v/>
      </c>
      <c r="K22" s="40">
        <f>Selbstkosten!K22*$D$5</f>
        <v/>
      </c>
      <c r="L22" s="40">
        <f>Selbstkosten!L22*$D$5</f>
        <v/>
      </c>
      <c r="M22" s="40">
        <f>Selbstkosten!M22*$D$5</f>
        <v/>
      </c>
      <c r="N22" s="40">
        <f>Selbstkosten!N22*$D$5</f>
        <v/>
      </c>
      <c r="O22" s="40">
        <f>Selbstkosten!O22*$D$5</f>
        <v/>
      </c>
      <c r="P22" s="28">
        <f>SUM(D22:O22)</f>
        <v/>
      </c>
      <c r="Q22" s="40">
        <f>Selbstkosten!D22*$D$6</f>
        <v/>
      </c>
      <c r="R22" s="40">
        <f>Selbstkosten!E22*$D$6</f>
        <v/>
      </c>
      <c r="S22" s="40">
        <f>Selbstkosten!F22*$D$6</f>
        <v/>
      </c>
      <c r="T22" s="40">
        <f>Selbstkosten!G22*$D$6</f>
        <v/>
      </c>
      <c r="U22" s="40">
        <f>Selbstkosten!H22*$D$6</f>
        <v/>
      </c>
      <c r="V22" s="40">
        <f>Selbstkosten!I22*$D$6</f>
        <v/>
      </c>
      <c r="W22" s="40">
        <f>Selbstkosten!J22*$D$6</f>
        <v/>
      </c>
      <c r="X22" s="40">
        <f>Selbstkosten!K22*$D$6</f>
        <v/>
      </c>
      <c r="Y22" s="40">
        <f>Selbstkosten!L22*$D$6</f>
        <v/>
      </c>
      <c r="Z22" s="40">
        <f>Selbstkosten!M22*$D$6</f>
        <v/>
      </c>
      <c r="AA22" s="40">
        <f>Selbstkosten!N22*$D$6</f>
        <v/>
      </c>
      <c r="AB22" s="40">
        <f>Selbstkosten!O22*$D$6</f>
        <v/>
      </c>
      <c r="AC22" s="28">
        <f>SUM(Q22:AB22)</f>
        <v/>
      </c>
      <c r="AD22" s="77">
        <f>P22+AC22</f>
        <v/>
      </c>
    </row>
    <row r="23">
      <c r="A23" s="71">
        <f>Stammdaten!A23</f>
        <v/>
      </c>
      <c r="B23" s="72">
        <f>Stammdaten!B23</f>
        <v/>
      </c>
      <c r="C23" s="72">
        <f>Stammdaten!C23</f>
        <v/>
      </c>
      <c r="D23" s="40">
        <f>Selbstkosten!D23*$D$5</f>
        <v/>
      </c>
      <c r="E23" s="40">
        <f>Selbstkosten!E23*$D$5</f>
        <v/>
      </c>
      <c r="F23" s="40">
        <f>Selbstkosten!F23*$D$5</f>
        <v/>
      </c>
      <c r="G23" s="40">
        <f>Selbstkosten!G23*$D$5</f>
        <v/>
      </c>
      <c r="H23" s="40">
        <f>Selbstkosten!H23*$D$5</f>
        <v/>
      </c>
      <c r="I23" s="40">
        <f>Selbstkosten!I23*$D$5</f>
        <v/>
      </c>
      <c r="J23" s="40">
        <f>Selbstkosten!J23*$D$5</f>
        <v/>
      </c>
      <c r="K23" s="40">
        <f>Selbstkosten!K23*$D$5</f>
        <v/>
      </c>
      <c r="L23" s="40">
        <f>Selbstkosten!L23*$D$5</f>
        <v/>
      </c>
      <c r="M23" s="40">
        <f>Selbstkosten!M23*$D$5</f>
        <v/>
      </c>
      <c r="N23" s="40">
        <f>Selbstkosten!N23*$D$5</f>
        <v/>
      </c>
      <c r="O23" s="40">
        <f>Selbstkosten!O23*$D$5</f>
        <v/>
      </c>
      <c r="P23" s="28">
        <f>SUM(D23:O23)</f>
        <v/>
      </c>
      <c r="Q23" s="40">
        <f>Selbstkosten!D23*$D$6</f>
        <v/>
      </c>
      <c r="R23" s="40">
        <f>Selbstkosten!E23*$D$6</f>
        <v/>
      </c>
      <c r="S23" s="40">
        <f>Selbstkosten!F23*$D$6</f>
        <v/>
      </c>
      <c r="T23" s="40">
        <f>Selbstkosten!G23*$D$6</f>
        <v/>
      </c>
      <c r="U23" s="40">
        <f>Selbstkosten!H23*$D$6</f>
        <v/>
      </c>
      <c r="V23" s="40">
        <f>Selbstkosten!I23*$D$6</f>
        <v/>
      </c>
      <c r="W23" s="40">
        <f>Selbstkosten!J23*$D$6</f>
        <v/>
      </c>
      <c r="X23" s="40">
        <f>Selbstkosten!K23*$D$6</f>
        <v/>
      </c>
      <c r="Y23" s="40">
        <f>Selbstkosten!L23*$D$6</f>
        <v/>
      </c>
      <c r="Z23" s="40">
        <f>Selbstkosten!M23*$D$6</f>
        <v/>
      </c>
      <c r="AA23" s="40">
        <f>Selbstkosten!N23*$D$6</f>
        <v/>
      </c>
      <c r="AB23" s="40">
        <f>Selbstkosten!O23*$D$6</f>
        <v/>
      </c>
      <c r="AC23" s="28">
        <f>SUM(Q23:AB23)</f>
        <v/>
      </c>
      <c r="AD23" s="77">
        <f>P23+AC23</f>
        <v/>
      </c>
    </row>
    <row r="24">
      <c r="A24" s="71">
        <f>Stammdaten!A24</f>
        <v/>
      </c>
      <c r="B24" s="72">
        <f>Stammdaten!B24</f>
        <v/>
      </c>
      <c r="C24" s="72">
        <f>Stammdaten!C24</f>
        <v/>
      </c>
      <c r="D24" s="40">
        <f>Selbstkosten!D24*$D$5</f>
        <v/>
      </c>
      <c r="E24" s="40">
        <f>Selbstkosten!E24*$D$5</f>
        <v/>
      </c>
      <c r="F24" s="40">
        <f>Selbstkosten!F24*$D$5</f>
        <v/>
      </c>
      <c r="G24" s="40">
        <f>Selbstkosten!G24*$D$5</f>
        <v/>
      </c>
      <c r="H24" s="40">
        <f>Selbstkosten!H24*$D$5</f>
        <v/>
      </c>
      <c r="I24" s="40">
        <f>Selbstkosten!I24*$D$5</f>
        <v/>
      </c>
      <c r="J24" s="40">
        <f>Selbstkosten!J24*$D$5</f>
        <v/>
      </c>
      <c r="K24" s="40">
        <f>Selbstkosten!K24*$D$5</f>
        <v/>
      </c>
      <c r="L24" s="40">
        <f>Selbstkosten!L24*$D$5</f>
        <v/>
      </c>
      <c r="M24" s="40">
        <f>Selbstkosten!M24*$D$5</f>
        <v/>
      </c>
      <c r="N24" s="40">
        <f>Selbstkosten!N24*$D$5</f>
        <v/>
      </c>
      <c r="O24" s="40">
        <f>Selbstkosten!O24*$D$5</f>
        <v/>
      </c>
      <c r="P24" s="28">
        <f>SUM(D24:O24)</f>
        <v/>
      </c>
      <c r="Q24" s="40">
        <f>Selbstkosten!D24*$D$6</f>
        <v/>
      </c>
      <c r="R24" s="40">
        <f>Selbstkosten!E24*$D$6</f>
        <v/>
      </c>
      <c r="S24" s="40">
        <f>Selbstkosten!F24*$D$6</f>
        <v/>
      </c>
      <c r="T24" s="40">
        <f>Selbstkosten!G24*$D$6</f>
        <v/>
      </c>
      <c r="U24" s="40">
        <f>Selbstkosten!H24*$D$6</f>
        <v/>
      </c>
      <c r="V24" s="40">
        <f>Selbstkosten!I24*$D$6</f>
        <v/>
      </c>
      <c r="W24" s="40">
        <f>Selbstkosten!J24*$D$6</f>
        <v/>
      </c>
      <c r="X24" s="40">
        <f>Selbstkosten!K24*$D$6</f>
        <v/>
      </c>
      <c r="Y24" s="40">
        <f>Selbstkosten!L24*$D$6</f>
        <v/>
      </c>
      <c r="Z24" s="40">
        <f>Selbstkosten!M24*$D$6</f>
        <v/>
      </c>
      <c r="AA24" s="40">
        <f>Selbstkosten!N24*$D$6</f>
        <v/>
      </c>
      <c r="AB24" s="40">
        <f>Selbstkosten!O24*$D$6</f>
        <v/>
      </c>
      <c r="AC24" s="28">
        <f>SUM(Q24:AB24)</f>
        <v/>
      </c>
      <c r="AD24" s="77">
        <f>P24+AC24</f>
        <v/>
      </c>
    </row>
    <row r="25">
      <c r="A25" s="71">
        <f>Stammdaten!A25</f>
        <v/>
      </c>
      <c r="B25" s="72">
        <f>Stammdaten!B25</f>
        <v/>
      </c>
      <c r="C25" s="72">
        <f>Stammdaten!C25</f>
        <v/>
      </c>
      <c r="D25" s="40">
        <f>Selbstkosten!D25*$D$5</f>
        <v/>
      </c>
      <c r="E25" s="40">
        <f>Selbstkosten!E25*$D$5</f>
        <v/>
      </c>
      <c r="F25" s="40">
        <f>Selbstkosten!F25*$D$5</f>
        <v/>
      </c>
      <c r="G25" s="40">
        <f>Selbstkosten!G25*$D$5</f>
        <v/>
      </c>
      <c r="H25" s="40">
        <f>Selbstkosten!H25*$D$5</f>
        <v/>
      </c>
      <c r="I25" s="40">
        <f>Selbstkosten!I25*$D$5</f>
        <v/>
      </c>
      <c r="J25" s="40">
        <f>Selbstkosten!J25*$D$5</f>
        <v/>
      </c>
      <c r="K25" s="40">
        <f>Selbstkosten!K25*$D$5</f>
        <v/>
      </c>
      <c r="L25" s="40">
        <f>Selbstkosten!L25*$D$5</f>
        <v/>
      </c>
      <c r="M25" s="40">
        <f>Selbstkosten!M25*$D$5</f>
        <v/>
      </c>
      <c r="N25" s="40">
        <f>Selbstkosten!N25*$D$5</f>
        <v/>
      </c>
      <c r="O25" s="40">
        <f>Selbstkosten!O25*$D$5</f>
        <v/>
      </c>
      <c r="P25" s="28">
        <f>SUM(D25:O25)</f>
        <v/>
      </c>
      <c r="Q25" s="40">
        <f>Selbstkosten!D25*$D$6</f>
        <v/>
      </c>
      <c r="R25" s="40">
        <f>Selbstkosten!E25*$D$6</f>
        <v/>
      </c>
      <c r="S25" s="40">
        <f>Selbstkosten!F25*$D$6</f>
        <v/>
      </c>
      <c r="T25" s="40">
        <f>Selbstkosten!G25*$D$6</f>
        <v/>
      </c>
      <c r="U25" s="40">
        <f>Selbstkosten!H25*$D$6</f>
        <v/>
      </c>
      <c r="V25" s="40">
        <f>Selbstkosten!I25*$D$6</f>
        <v/>
      </c>
      <c r="W25" s="40">
        <f>Selbstkosten!J25*$D$6</f>
        <v/>
      </c>
      <c r="X25" s="40">
        <f>Selbstkosten!K25*$D$6</f>
        <v/>
      </c>
      <c r="Y25" s="40">
        <f>Selbstkosten!L25*$D$6</f>
        <v/>
      </c>
      <c r="Z25" s="40">
        <f>Selbstkosten!M25*$D$6</f>
        <v/>
      </c>
      <c r="AA25" s="40">
        <f>Selbstkosten!N25*$D$6</f>
        <v/>
      </c>
      <c r="AB25" s="40">
        <f>Selbstkosten!O25*$D$6</f>
        <v/>
      </c>
      <c r="AC25" s="28">
        <f>SUM(Q25:AB25)</f>
        <v/>
      </c>
      <c r="AD25" s="77">
        <f>P25+AC25</f>
        <v/>
      </c>
    </row>
    <row r="26">
      <c r="A26" s="71">
        <f>Stammdaten!A26</f>
        <v/>
      </c>
      <c r="B26" s="72">
        <f>Stammdaten!B26</f>
        <v/>
      </c>
      <c r="C26" s="72">
        <f>Stammdaten!C26</f>
        <v/>
      </c>
      <c r="D26" s="40">
        <f>Selbstkosten!D26*$D$5</f>
        <v/>
      </c>
      <c r="E26" s="40">
        <f>Selbstkosten!E26*$D$5</f>
        <v/>
      </c>
      <c r="F26" s="40">
        <f>Selbstkosten!F26*$D$5</f>
        <v/>
      </c>
      <c r="G26" s="40">
        <f>Selbstkosten!G26*$D$5</f>
        <v/>
      </c>
      <c r="H26" s="40">
        <f>Selbstkosten!H26*$D$5</f>
        <v/>
      </c>
      <c r="I26" s="40">
        <f>Selbstkosten!I26*$D$5</f>
        <v/>
      </c>
      <c r="J26" s="40">
        <f>Selbstkosten!J26*$D$5</f>
        <v/>
      </c>
      <c r="K26" s="40">
        <f>Selbstkosten!K26*$D$5</f>
        <v/>
      </c>
      <c r="L26" s="40">
        <f>Selbstkosten!L26*$D$5</f>
        <v/>
      </c>
      <c r="M26" s="40">
        <f>Selbstkosten!M26*$D$5</f>
        <v/>
      </c>
      <c r="N26" s="40">
        <f>Selbstkosten!N26*$D$5</f>
        <v/>
      </c>
      <c r="O26" s="40">
        <f>Selbstkosten!O26*$D$5</f>
        <v/>
      </c>
      <c r="P26" s="28">
        <f>SUM(D26:O26)</f>
        <v/>
      </c>
      <c r="Q26" s="40">
        <f>Selbstkosten!D26*$D$6</f>
        <v/>
      </c>
      <c r="R26" s="40">
        <f>Selbstkosten!E26*$D$6</f>
        <v/>
      </c>
      <c r="S26" s="40">
        <f>Selbstkosten!F26*$D$6</f>
        <v/>
      </c>
      <c r="T26" s="40">
        <f>Selbstkosten!G26*$D$6</f>
        <v/>
      </c>
      <c r="U26" s="40">
        <f>Selbstkosten!H26*$D$6</f>
        <v/>
      </c>
      <c r="V26" s="40">
        <f>Selbstkosten!I26*$D$6</f>
        <v/>
      </c>
      <c r="W26" s="40">
        <f>Selbstkosten!J26*$D$6</f>
        <v/>
      </c>
      <c r="X26" s="40">
        <f>Selbstkosten!K26*$D$6</f>
        <v/>
      </c>
      <c r="Y26" s="40">
        <f>Selbstkosten!L26*$D$6</f>
        <v/>
      </c>
      <c r="Z26" s="40">
        <f>Selbstkosten!M26*$D$6</f>
        <v/>
      </c>
      <c r="AA26" s="40">
        <f>Selbstkosten!N26*$D$6</f>
        <v/>
      </c>
      <c r="AB26" s="40">
        <f>Selbstkosten!O26*$D$6</f>
        <v/>
      </c>
      <c r="AC26" s="28">
        <f>SUM(Q26:AB26)</f>
        <v/>
      </c>
      <c r="AD26" s="77">
        <f>P26+AC26</f>
        <v/>
      </c>
    </row>
    <row r="27">
      <c r="A27" s="71">
        <f>Stammdaten!A27</f>
        <v/>
      </c>
      <c r="B27" s="72">
        <f>Stammdaten!B27</f>
        <v/>
      </c>
      <c r="C27" s="72">
        <f>Stammdaten!C27</f>
        <v/>
      </c>
      <c r="D27" s="40">
        <f>Selbstkosten!D27*$D$5</f>
        <v/>
      </c>
      <c r="E27" s="40">
        <f>Selbstkosten!E27*$D$5</f>
        <v/>
      </c>
      <c r="F27" s="40">
        <f>Selbstkosten!F27*$D$5</f>
        <v/>
      </c>
      <c r="G27" s="40">
        <f>Selbstkosten!G27*$D$5</f>
        <v/>
      </c>
      <c r="H27" s="40">
        <f>Selbstkosten!H27*$D$5</f>
        <v/>
      </c>
      <c r="I27" s="40">
        <f>Selbstkosten!I27*$D$5</f>
        <v/>
      </c>
      <c r="J27" s="40">
        <f>Selbstkosten!J27*$D$5</f>
        <v/>
      </c>
      <c r="K27" s="40">
        <f>Selbstkosten!K27*$D$5</f>
        <v/>
      </c>
      <c r="L27" s="40">
        <f>Selbstkosten!L27*$D$5</f>
        <v/>
      </c>
      <c r="M27" s="40">
        <f>Selbstkosten!M27*$D$5</f>
        <v/>
      </c>
      <c r="N27" s="40">
        <f>Selbstkosten!N27*$D$5</f>
        <v/>
      </c>
      <c r="O27" s="40">
        <f>Selbstkosten!O27*$D$5</f>
        <v/>
      </c>
      <c r="P27" s="28">
        <f>SUM(D27:O27)</f>
        <v/>
      </c>
      <c r="Q27" s="40">
        <f>Selbstkosten!D27*$D$6</f>
        <v/>
      </c>
      <c r="R27" s="40">
        <f>Selbstkosten!E27*$D$6</f>
        <v/>
      </c>
      <c r="S27" s="40">
        <f>Selbstkosten!F27*$D$6</f>
        <v/>
      </c>
      <c r="T27" s="40">
        <f>Selbstkosten!G27*$D$6</f>
        <v/>
      </c>
      <c r="U27" s="40">
        <f>Selbstkosten!H27*$D$6</f>
        <v/>
      </c>
      <c r="V27" s="40">
        <f>Selbstkosten!I27*$D$6</f>
        <v/>
      </c>
      <c r="W27" s="40">
        <f>Selbstkosten!J27*$D$6</f>
        <v/>
      </c>
      <c r="X27" s="40">
        <f>Selbstkosten!K27*$D$6</f>
        <v/>
      </c>
      <c r="Y27" s="40">
        <f>Selbstkosten!L27*$D$6</f>
        <v/>
      </c>
      <c r="Z27" s="40">
        <f>Selbstkosten!M27*$D$6</f>
        <v/>
      </c>
      <c r="AA27" s="40">
        <f>Selbstkosten!N27*$D$6</f>
        <v/>
      </c>
      <c r="AB27" s="40">
        <f>Selbstkosten!O27*$D$6</f>
        <v/>
      </c>
      <c r="AC27" s="28">
        <f>SUM(Q27:AB27)</f>
        <v/>
      </c>
      <c r="AD27" s="77">
        <f>P27+AC27</f>
        <v/>
      </c>
    </row>
    <row r="28">
      <c r="A28" s="71">
        <f>Stammdaten!A28</f>
        <v/>
      </c>
      <c r="B28" s="72">
        <f>Stammdaten!B28</f>
        <v/>
      </c>
      <c r="C28" s="72">
        <f>Stammdaten!C28</f>
        <v/>
      </c>
      <c r="D28" s="40">
        <f>Selbstkosten!D28*$D$5</f>
        <v/>
      </c>
      <c r="E28" s="40">
        <f>Selbstkosten!E28*$D$5</f>
        <v/>
      </c>
      <c r="F28" s="40">
        <f>Selbstkosten!F28*$D$5</f>
        <v/>
      </c>
      <c r="G28" s="40">
        <f>Selbstkosten!G28*$D$5</f>
        <v/>
      </c>
      <c r="H28" s="40">
        <f>Selbstkosten!H28*$D$5</f>
        <v/>
      </c>
      <c r="I28" s="40">
        <f>Selbstkosten!I28*$D$5</f>
        <v/>
      </c>
      <c r="J28" s="40">
        <f>Selbstkosten!J28*$D$5</f>
        <v/>
      </c>
      <c r="K28" s="40">
        <f>Selbstkosten!K28*$D$5</f>
        <v/>
      </c>
      <c r="L28" s="40">
        <f>Selbstkosten!L28*$D$5</f>
        <v/>
      </c>
      <c r="M28" s="40">
        <f>Selbstkosten!M28*$D$5</f>
        <v/>
      </c>
      <c r="N28" s="40">
        <f>Selbstkosten!N28*$D$5</f>
        <v/>
      </c>
      <c r="O28" s="40">
        <f>Selbstkosten!O28*$D$5</f>
        <v/>
      </c>
      <c r="P28" s="28">
        <f>SUM(D28:O28)</f>
        <v/>
      </c>
      <c r="Q28" s="40">
        <f>Selbstkosten!D28*$D$6</f>
        <v/>
      </c>
      <c r="R28" s="40">
        <f>Selbstkosten!E28*$D$6</f>
        <v/>
      </c>
      <c r="S28" s="40">
        <f>Selbstkosten!F28*$D$6</f>
        <v/>
      </c>
      <c r="T28" s="40">
        <f>Selbstkosten!G28*$D$6</f>
        <v/>
      </c>
      <c r="U28" s="40">
        <f>Selbstkosten!H28*$D$6</f>
        <v/>
      </c>
      <c r="V28" s="40">
        <f>Selbstkosten!I28*$D$6</f>
        <v/>
      </c>
      <c r="W28" s="40">
        <f>Selbstkosten!J28*$D$6</f>
        <v/>
      </c>
      <c r="X28" s="40">
        <f>Selbstkosten!K28*$D$6</f>
        <v/>
      </c>
      <c r="Y28" s="40">
        <f>Selbstkosten!L28*$D$6</f>
        <v/>
      </c>
      <c r="Z28" s="40">
        <f>Selbstkosten!M28*$D$6</f>
        <v/>
      </c>
      <c r="AA28" s="40">
        <f>Selbstkosten!N28*$D$6</f>
        <v/>
      </c>
      <c r="AB28" s="40">
        <f>Selbstkosten!O28*$D$6</f>
        <v/>
      </c>
      <c r="AC28" s="28">
        <f>SUM(Q28:AB28)</f>
        <v/>
      </c>
      <c r="AD28" s="77">
        <f>P28+AC28</f>
        <v/>
      </c>
    </row>
    <row r="29">
      <c r="A29" s="68">
        <f>Stammdaten!A29</f>
        <v/>
      </c>
      <c r="B29" s="69">
        <f>Stammdaten!B29</f>
        <v/>
      </c>
      <c r="C29" s="69">
        <f>Stammdaten!C29</f>
        <v/>
      </c>
      <c r="D29" s="40">
        <f>Selbstkosten!D29*$D$5</f>
        <v/>
      </c>
      <c r="E29" s="40">
        <f>Selbstkosten!E29*$D$5</f>
        <v/>
      </c>
      <c r="F29" s="40">
        <f>Selbstkosten!F29*$D$5</f>
        <v/>
      </c>
      <c r="G29" s="40">
        <f>Selbstkosten!G29*$D$5</f>
        <v/>
      </c>
      <c r="H29" s="40">
        <f>Selbstkosten!H29*$D$5</f>
        <v/>
      </c>
      <c r="I29" s="40">
        <f>Selbstkosten!I29*$D$5</f>
        <v/>
      </c>
      <c r="J29" s="40">
        <f>Selbstkosten!J29*$D$5</f>
        <v/>
      </c>
      <c r="K29" s="40">
        <f>Selbstkosten!K29*$D$5</f>
        <v/>
      </c>
      <c r="L29" s="40">
        <f>Selbstkosten!L29*$D$5</f>
        <v/>
      </c>
      <c r="M29" s="40">
        <f>Selbstkosten!M29*$D$5</f>
        <v/>
      </c>
      <c r="N29" s="40">
        <f>Selbstkosten!N29*$D$5</f>
        <v/>
      </c>
      <c r="O29" s="40">
        <f>Selbstkosten!O29*$D$5</f>
        <v/>
      </c>
      <c r="P29" s="28">
        <f>SUM(D29:O29)</f>
        <v/>
      </c>
      <c r="Q29" s="40">
        <f>Selbstkosten!D29*$D$6</f>
        <v/>
      </c>
      <c r="R29" s="40">
        <f>Selbstkosten!E29*$D$6</f>
        <v/>
      </c>
      <c r="S29" s="40">
        <f>Selbstkosten!F29*$D$6</f>
        <v/>
      </c>
      <c r="T29" s="40">
        <f>Selbstkosten!G29*$D$6</f>
        <v/>
      </c>
      <c r="U29" s="40">
        <f>Selbstkosten!H29*$D$6</f>
        <v/>
      </c>
      <c r="V29" s="40">
        <f>Selbstkosten!I29*$D$6</f>
        <v/>
      </c>
      <c r="W29" s="40">
        <f>Selbstkosten!J29*$D$6</f>
        <v/>
      </c>
      <c r="X29" s="40">
        <f>Selbstkosten!K29*$D$6</f>
        <v/>
      </c>
      <c r="Y29" s="40">
        <f>Selbstkosten!L29*$D$6</f>
        <v/>
      </c>
      <c r="Z29" s="40">
        <f>Selbstkosten!M29*$D$6</f>
        <v/>
      </c>
      <c r="AA29" s="40">
        <f>Selbstkosten!N29*$D$6</f>
        <v/>
      </c>
      <c r="AB29" s="40">
        <f>Selbstkosten!O29*$D$6</f>
        <v/>
      </c>
      <c r="AC29" s="28">
        <f>SUM(Q29:AB29)</f>
        <v/>
      </c>
      <c r="AD29" s="77">
        <f>P29+AC29</f>
        <v/>
      </c>
    </row>
    <row r="30">
      <c r="A30" s="68">
        <f>Stammdaten!A30</f>
        <v/>
      </c>
      <c r="B30" s="69">
        <f>Stammdaten!B30</f>
        <v/>
      </c>
      <c r="C30" s="69">
        <f>Stammdaten!C30</f>
        <v/>
      </c>
      <c r="D30" s="40">
        <f>Selbstkosten!D30*$D$5</f>
        <v/>
      </c>
      <c r="E30" s="40">
        <f>Selbstkosten!E30*$D$5</f>
        <v/>
      </c>
      <c r="F30" s="40">
        <f>Selbstkosten!F30*$D$5</f>
        <v/>
      </c>
      <c r="G30" s="40">
        <f>Selbstkosten!G30*$D$5</f>
        <v/>
      </c>
      <c r="H30" s="40">
        <f>Selbstkosten!H30*$D$5</f>
        <v/>
      </c>
      <c r="I30" s="40">
        <f>Selbstkosten!I30*$D$5</f>
        <v/>
      </c>
      <c r="J30" s="40">
        <f>Selbstkosten!J30*$D$5</f>
        <v/>
      </c>
      <c r="K30" s="40">
        <f>Selbstkosten!K30*$D$5</f>
        <v/>
      </c>
      <c r="L30" s="40">
        <f>Selbstkosten!L30*$D$5</f>
        <v/>
      </c>
      <c r="M30" s="40">
        <f>Selbstkosten!M30*$D$5</f>
        <v/>
      </c>
      <c r="N30" s="40">
        <f>Selbstkosten!N30*$D$5</f>
        <v/>
      </c>
      <c r="O30" s="40">
        <f>Selbstkosten!O30*$D$5</f>
        <v/>
      </c>
      <c r="P30" s="28">
        <f>SUM(D30:O30)</f>
        <v/>
      </c>
      <c r="Q30" s="40">
        <f>Selbstkosten!D30*$D$6</f>
        <v/>
      </c>
      <c r="R30" s="40">
        <f>Selbstkosten!E30*$D$6</f>
        <v/>
      </c>
      <c r="S30" s="40">
        <f>Selbstkosten!F30*$D$6</f>
        <v/>
      </c>
      <c r="T30" s="40">
        <f>Selbstkosten!G30*$D$6</f>
        <v/>
      </c>
      <c r="U30" s="40">
        <f>Selbstkosten!H30*$D$6</f>
        <v/>
      </c>
      <c r="V30" s="40">
        <f>Selbstkosten!I30*$D$6</f>
        <v/>
      </c>
      <c r="W30" s="40">
        <f>Selbstkosten!J30*$D$6</f>
        <v/>
      </c>
      <c r="X30" s="40">
        <f>Selbstkosten!K30*$D$6</f>
        <v/>
      </c>
      <c r="Y30" s="40">
        <f>Selbstkosten!L30*$D$6</f>
        <v/>
      </c>
      <c r="Z30" s="40">
        <f>Selbstkosten!M30*$D$6</f>
        <v/>
      </c>
      <c r="AA30" s="40">
        <f>Selbstkosten!N30*$D$6</f>
        <v/>
      </c>
      <c r="AB30" s="40">
        <f>Selbstkosten!O30*$D$6</f>
        <v/>
      </c>
      <c r="AC30" s="28">
        <f>SUM(Q30:AB30)</f>
        <v/>
      </c>
      <c r="AD30" s="77">
        <f>P30+AC30</f>
        <v/>
      </c>
    </row>
    <row r="31">
      <c r="A31" s="68">
        <f>Stammdaten!A31</f>
        <v/>
      </c>
      <c r="B31" s="69">
        <f>Stammdaten!B31</f>
        <v/>
      </c>
      <c r="C31" s="69">
        <f>Stammdaten!C31</f>
        <v/>
      </c>
      <c r="D31" s="40">
        <f>Selbstkosten!D31*$D$5</f>
        <v/>
      </c>
      <c r="E31" s="40">
        <f>Selbstkosten!E31*$D$5</f>
        <v/>
      </c>
      <c r="F31" s="40">
        <f>Selbstkosten!F31*$D$5</f>
        <v/>
      </c>
      <c r="G31" s="40">
        <f>Selbstkosten!G31*$D$5</f>
        <v/>
      </c>
      <c r="H31" s="40">
        <f>Selbstkosten!H31*$D$5</f>
        <v/>
      </c>
      <c r="I31" s="40">
        <f>Selbstkosten!I31*$D$5</f>
        <v/>
      </c>
      <c r="J31" s="40">
        <f>Selbstkosten!J31*$D$5</f>
        <v/>
      </c>
      <c r="K31" s="40">
        <f>Selbstkosten!K31*$D$5</f>
        <v/>
      </c>
      <c r="L31" s="40">
        <f>Selbstkosten!L31*$D$5</f>
        <v/>
      </c>
      <c r="M31" s="40">
        <f>Selbstkosten!M31*$D$5</f>
        <v/>
      </c>
      <c r="N31" s="40">
        <f>Selbstkosten!N31*$D$5</f>
        <v/>
      </c>
      <c r="O31" s="40">
        <f>Selbstkosten!O31*$D$5</f>
        <v/>
      </c>
      <c r="P31" s="28">
        <f>SUM(D31:O31)</f>
        <v/>
      </c>
      <c r="Q31" s="40">
        <f>Selbstkosten!D31*$D$6</f>
        <v/>
      </c>
      <c r="R31" s="40">
        <f>Selbstkosten!E31*$D$6</f>
        <v/>
      </c>
      <c r="S31" s="40">
        <f>Selbstkosten!F31*$D$6</f>
        <v/>
      </c>
      <c r="T31" s="40">
        <f>Selbstkosten!G31*$D$6</f>
        <v/>
      </c>
      <c r="U31" s="40">
        <f>Selbstkosten!H31*$D$6</f>
        <v/>
      </c>
      <c r="V31" s="40">
        <f>Selbstkosten!I31*$D$6</f>
        <v/>
      </c>
      <c r="W31" s="40">
        <f>Selbstkosten!J31*$D$6</f>
        <v/>
      </c>
      <c r="X31" s="40">
        <f>Selbstkosten!K31*$D$6</f>
        <v/>
      </c>
      <c r="Y31" s="40">
        <f>Selbstkosten!L31*$D$6</f>
        <v/>
      </c>
      <c r="Z31" s="40">
        <f>Selbstkosten!M31*$D$6</f>
        <v/>
      </c>
      <c r="AA31" s="40">
        <f>Selbstkosten!N31*$D$6</f>
        <v/>
      </c>
      <c r="AB31" s="40">
        <f>Selbstkosten!O31*$D$6</f>
        <v/>
      </c>
      <c r="AC31" s="28">
        <f>SUM(Q31:AB31)</f>
        <v/>
      </c>
      <c r="AD31" s="77">
        <f>P31+AC31</f>
        <v/>
      </c>
    </row>
    <row r="32">
      <c r="A32" s="68">
        <f>Stammdaten!A32</f>
        <v/>
      </c>
      <c r="B32" s="69">
        <f>Stammdaten!B32</f>
        <v/>
      </c>
      <c r="C32" s="69">
        <f>Stammdaten!C32</f>
        <v/>
      </c>
      <c r="D32" s="40">
        <f>Selbstkosten!D32*$D$5</f>
        <v/>
      </c>
      <c r="E32" s="40">
        <f>Selbstkosten!E32*$D$5</f>
        <v/>
      </c>
      <c r="F32" s="40">
        <f>Selbstkosten!F32*$D$5</f>
        <v/>
      </c>
      <c r="G32" s="40">
        <f>Selbstkosten!G32*$D$5</f>
        <v/>
      </c>
      <c r="H32" s="40">
        <f>Selbstkosten!H32*$D$5</f>
        <v/>
      </c>
      <c r="I32" s="40">
        <f>Selbstkosten!I32*$D$5</f>
        <v/>
      </c>
      <c r="J32" s="40">
        <f>Selbstkosten!J32*$D$5</f>
        <v/>
      </c>
      <c r="K32" s="40">
        <f>Selbstkosten!K32*$D$5</f>
        <v/>
      </c>
      <c r="L32" s="40">
        <f>Selbstkosten!L32*$D$5</f>
        <v/>
      </c>
      <c r="M32" s="40">
        <f>Selbstkosten!M32*$D$5</f>
        <v/>
      </c>
      <c r="N32" s="40">
        <f>Selbstkosten!N32*$D$5</f>
        <v/>
      </c>
      <c r="O32" s="40">
        <f>Selbstkosten!O32*$D$5</f>
        <v/>
      </c>
      <c r="P32" s="28">
        <f>SUM(D32:O32)</f>
        <v/>
      </c>
      <c r="Q32" s="40">
        <f>Selbstkosten!D32*$D$6</f>
        <v/>
      </c>
      <c r="R32" s="40">
        <f>Selbstkosten!E32*$D$6</f>
        <v/>
      </c>
      <c r="S32" s="40">
        <f>Selbstkosten!F32*$D$6</f>
        <v/>
      </c>
      <c r="T32" s="40">
        <f>Selbstkosten!G32*$D$6</f>
        <v/>
      </c>
      <c r="U32" s="40">
        <f>Selbstkosten!H32*$D$6</f>
        <v/>
      </c>
      <c r="V32" s="40">
        <f>Selbstkosten!I32*$D$6</f>
        <v/>
      </c>
      <c r="W32" s="40">
        <f>Selbstkosten!J32*$D$6</f>
        <v/>
      </c>
      <c r="X32" s="40">
        <f>Selbstkosten!K32*$D$6</f>
        <v/>
      </c>
      <c r="Y32" s="40">
        <f>Selbstkosten!L32*$D$6</f>
        <v/>
      </c>
      <c r="Z32" s="40">
        <f>Selbstkosten!M32*$D$6</f>
        <v/>
      </c>
      <c r="AA32" s="40">
        <f>Selbstkosten!N32*$D$6</f>
        <v/>
      </c>
      <c r="AB32" s="40">
        <f>Selbstkosten!O32*$D$6</f>
        <v/>
      </c>
      <c r="AC32" s="28">
        <f>SUM(Q32:AB32)</f>
        <v/>
      </c>
      <c r="AD32" s="77">
        <f>P32+AC32</f>
        <v/>
      </c>
    </row>
    <row r="33">
      <c r="A33" s="68">
        <f>Stammdaten!A33</f>
        <v/>
      </c>
      <c r="B33" s="69">
        <f>Stammdaten!B33</f>
        <v/>
      </c>
      <c r="C33" s="69">
        <f>Stammdaten!C33</f>
        <v/>
      </c>
      <c r="D33" s="40">
        <f>Selbstkosten!D33*$D$5</f>
        <v/>
      </c>
      <c r="E33" s="40">
        <f>Selbstkosten!E33*$D$5</f>
        <v/>
      </c>
      <c r="F33" s="40">
        <f>Selbstkosten!F33*$D$5</f>
        <v/>
      </c>
      <c r="G33" s="40">
        <f>Selbstkosten!G33*$D$5</f>
        <v/>
      </c>
      <c r="H33" s="40">
        <f>Selbstkosten!H33*$D$5</f>
        <v/>
      </c>
      <c r="I33" s="40">
        <f>Selbstkosten!I33*$D$5</f>
        <v/>
      </c>
      <c r="J33" s="40">
        <f>Selbstkosten!J33*$D$5</f>
        <v/>
      </c>
      <c r="K33" s="40">
        <f>Selbstkosten!K33*$D$5</f>
        <v/>
      </c>
      <c r="L33" s="40">
        <f>Selbstkosten!L33*$D$5</f>
        <v/>
      </c>
      <c r="M33" s="40">
        <f>Selbstkosten!M33*$D$5</f>
        <v/>
      </c>
      <c r="N33" s="40">
        <f>Selbstkosten!N33*$D$5</f>
        <v/>
      </c>
      <c r="O33" s="40">
        <f>Selbstkosten!O33*$D$5</f>
        <v/>
      </c>
      <c r="P33" s="28">
        <f>SUM(D33:O33)</f>
        <v/>
      </c>
      <c r="Q33" s="40">
        <f>Selbstkosten!D33*$D$6</f>
        <v/>
      </c>
      <c r="R33" s="40">
        <f>Selbstkosten!E33*$D$6</f>
        <v/>
      </c>
      <c r="S33" s="40">
        <f>Selbstkosten!F33*$D$6</f>
        <v/>
      </c>
      <c r="T33" s="40">
        <f>Selbstkosten!G33*$D$6</f>
        <v/>
      </c>
      <c r="U33" s="40">
        <f>Selbstkosten!H33*$D$6</f>
        <v/>
      </c>
      <c r="V33" s="40">
        <f>Selbstkosten!I33*$D$6</f>
        <v/>
      </c>
      <c r="W33" s="40">
        <f>Selbstkosten!J33*$D$6</f>
        <v/>
      </c>
      <c r="X33" s="40">
        <f>Selbstkosten!K33*$D$6</f>
        <v/>
      </c>
      <c r="Y33" s="40">
        <f>Selbstkosten!L33*$D$6</f>
        <v/>
      </c>
      <c r="Z33" s="40">
        <f>Selbstkosten!M33*$D$6</f>
        <v/>
      </c>
      <c r="AA33" s="40">
        <f>Selbstkosten!N33*$D$6</f>
        <v/>
      </c>
      <c r="AB33" s="40">
        <f>Selbstkosten!O33*$D$6</f>
        <v/>
      </c>
      <c r="AC33" s="28">
        <f>SUM(Q33:AB33)</f>
        <v/>
      </c>
      <c r="AD33" s="77">
        <f>P33+AC33</f>
        <v/>
      </c>
    </row>
    <row r="34">
      <c r="A34" s="68">
        <f>Stammdaten!A34</f>
        <v/>
      </c>
      <c r="B34" s="69">
        <f>Stammdaten!B34</f>
        <v/>
      </c>
      <c r="C34" s="69">
        <f>Stammdaten!C34</f>
        <v/>
      </c>
      <c r="D34" s="40">
        <f>Selbstkosten!D34*$D$5</f>
        <v/>
      </c>
      <c r="E34" s="40">
        <f>Selbstkosten!E34*$D$5</f>
        <v/>
      </c>
      <c r="F34" s="40">
        <f>Selbstkosten!F34*$D$5</f>
        <v/>
      </c>
      <c r="G34" s="40">
        <f>Selbstkosten!G34*$D$5</f>
        <v/>
      </c>
      <c r="H34" s="40">
        <f>Selbstkosten!H34*$D$5</f>
        <v/>
      </c>
      <c r="I34" s="40">
        <f>Selbstkosten!I34*$D$5</f>
        <v/>
      </c>
      <c r="J34" s="40">
        <f>Selbstkosten!J34*$D$5</f>
        <v/>
      </c>
      <c r="K34" s="40">
        <f>Selbstkosten!K34*$D$5</f>
        <v/>
      </c>
      <c r="L34" s="40">
        <f>Selbstkosten!L34*$D$5</f>
        <v/>
      </c>
      <c r="M34" s="40">
        <f>Selbstkosten!M34*$D$5</f>
        <v/>
      </c>
      <c r="N34" s="40">
        <f>Selbstkosten!N34*$D$5</f>
        <v/>
      </c>
      <c r="O34" s="40">
        <f>Selbstkosten!O34*$D$5</f>
        <v/>
      </c>
      <c r="P34" s="28">
        <f>SUM(D34:O34)</f>
        <v/>
      </c>
      <c r="Q34" s="40">
        <f>Selbstkosten!D34*$D$6</f>
        <v/>
      </c>
      <c r="R34" s="40">
        <f>Selbstkosten!E34*$D$6</f>
        <v/>
      </c>
      <c r="S34" s="40">
        <f>Selbstkosten!F34*$D$6</f>
        <v/>
      </c>
      <c r="T34" s="40">
        <f>Selbstkosten!G34*$D$6</f>
        <v/>
      </c>
      <c r="U34" s="40">
        <f>Selbstkosten!H34*$D$6</f>
        <v/>
      </c>
      <c r="V34" s="40">
        <f>Selbstkosten!I34*$D$6</f>
        <v/>
      </c>
      <c r="W34" s="40">
        <f>Selbstkosten!J34*$D$6</f>
        <v/>
      </c>
      <c r="X34" s="40">
        <f>Selbstkosten!K34*$D$6</f>
        <v/>
      </c>
      <c r="Y34" s="40">
        <f>Selbstkosten!L34*$D$6</f>
        <v/>
      </c>
      <c r="Z34" s="40">
        <f>Selbstkosten!M34*$D$6</f>
        <v/>
      </c>
      <c r="AA34" s="40">
        <f>Selbstkosten!N34*$D$6</f>
        <v/>
      </c>
      <c r="AB34" s="40">
        <f>Selbstkosten!O34*$D$6</f>
        <v/>
      </c>
      <c r="AC34" s="28">
        <f>SUM(Q34:AB34)</f>
        <v/>
      </c>
      <c r="AD34" s="77">
        <f>P34+AC34</f>
        <v/>
      </c>
    </row>
    <row r="35">
      <c r="A35" s="68">
        <f>Stammdaten!A35</f>
        <v/>
      </c>
      <c r="B35" s="69">
        <f>Stammdaten!B35</f>
        <v/>
      </c>
      <c r="C35" s="69">
        <f>Stammdaten!C35</f>
        <v/>
      </c>
      <c r="D35" s="40">
        <f>Selbstkosten!D35*$D$5</f>
        <v/>
      </c>
      <c r="E35" s="40">
        <f>Selbstkosten!E35*$D$5</f>
        <v/>
      </c>
      <c r="F35" s="40">
        <f>Selbstkosten!F35*$D$5</f>
        <v/>
      </c>
      <c r="G35" s="40">
        <f>Selbstkosten!G35*$D$5</f>
        <v/>
      </c>
      <c r="H35" s="40">
        <f>Selbstkosten!H35*$D$5</f>
        <v/>
      </c>
      <c r="I35" s="40">
        <f>Selbstkosten!I35*$D$5</f>
        <v/>
      </c>
      <c r="J35" s="40">
        <f>Selbstkosten!J35*$D$5</f>
        <v/>
      </c>
      <c r="K35" s="40">
        <f>Selbstkosten!K35*$D$5</f>
        <v/>
      </c>
      <c r="L35" s="40">
        <f>Selbstkosten!L35*$D$5</f>
        <v/>
      </c>
      <c r="M35" s="40">
        <f>Selbstkosten!M35*$D$5</f>
        <v/>
      </c>
      <c r="N35" s="40">
        <f>Selbstkosten!N35*$D$5</f>
        <v/>
      </c>
      <c r="O35" s="40">
        <f>Selbstkosten!O35*$D$5</f>
        <v/>
      </c>
      <c r="P35" s="28">
        <f>SUM(D35:O35)</f>
        <v/>
      </c>
      <c r="Q35" s="40">
        <f>Selbstkosten!D35*$D$6</f>
        <v/>
      </c>
      <c r="R35" s="40">
        <f>Selbstkosten!E35*$D$6</f>
        <v/>
      </c>
      <c r="S35" s="40">
        <f>Selbstkosten!F35*$D$6</f>
        <v/>
      </c>
      <c r="T35" s="40">
        <f>Selbstkosten!G35*$D$6</f>
        <v/>
      </c>
      <c r="U35" s="40">
        <f>Selbstkosten!H35*$D$6</f>
        <v/>
      </c>
      <c r="V35" s="40">
        <f>Selbstkosten!I35*$D$6</f>
        <v/>
      </c>
      <c r="W35" s="40">
        <f>Selbstkosten!J35*$D$6</f>
        <v/>
      </c>
      <c r="X35" s="40">
        <f>Selbstkosten!K35*$D$6</f>
        <v/>
      </c>
      <c r="Y35" s="40">
        <f>Selbstkosten!L35*$D$6</f>
        <v/>
      </c>
      <c r="Z35" s="40">
        <f>Selbstkosten!M35*$D$6</f>
        <v/>
      </c>
      <c r="AA35" s="40">
        <f>Selbstkosten!N35*$D$6</f>
        <v/>
      </c>
      <c r="AB35" s="40">
        <f>Selbstkosten!O35*$D$6</f>
        <v/>
      </c>
      <c r="AC35" s="28">
        <f>SUM(Q35:AB35)</f>
        <v/>
      </c>
      <c r="AD35" s="77">
        <f>P35+AC35</f>
        <v/>
      </c>
    </row>
    <row r="36">
      <c r="A36" s="68">
        <f>Stammdaten!A36</f>
        <v/>
      </c>
      <c r="B36" s="69">
        <f>Stammdaten!B36</f>
        <v/>
      </c>
      <c r="C36" s="69">
        <f>Stammdaten!C36</f>
        <v/>
      </c>
      <c r="D36" s="40">
        <f>Selbstkosten!D36*$D$5</f>
        <v/>
      </c>
      <c r="E36" s="40">
        <f>Selbstkosten!E36*$D$5</f>
        <v/>
      </c>
      <c r="F36" s="40">
        <f>Selbstkosten!F36*$D$5</f>
        <v/>
      </c>
      <c r="G36" s="40">
        <f>Selbstkosten!G36*$D$5</f>
        <v/>
      </c>
      <c r="H36" s="40">
        <f>Selbstkosten!H36*$D$5</f>
        <v/>
      </c>
      <c r="I36" s="40">
        <f>Selbstkosten!I36*$D$5</f>
        <v/>
      </c>
      <c r="J36" s="40">
        <f>Selbstkosten!J36*$D$5</f>
        <v/>
      </c>
      <c r="K36" s="40">
        <f>Selbstkosten!K36*$D$5</f>
        <v/>
      </c>
      <c r="L36" s="40">
        <f>Selbstkosten!L36*$D$5</f>
        <v/>
      </c>
      <c r="M36" s="40">
        <f>Selbstkosten!M36*$D$5</f>
        <v/>
      </c>
      <c r="N36" s="40">
        <f>Selbstkosten!N36*$D$5</f>
        <v/>
      </c>
      <c r="O36" s="40">
        <f>Selbstkosten!O36*$D$5</f>
        <v/>
      </c>
      <c r="P36" s="28">
        <f>SUM(D36:O36)</f>
        <v/>
      </c>
      <c r="Q36" s="40">
        <f>Selbstkosten!D36*$D$6</f>
        <v/>
      </c>
      <c r="R36" s="40">
        <f>Selbstkosten!E36*$D$6</f>
        <v/>
      </c>
      <c r="S36" s="40">
        <f>Selbstkosten!F36*$D$6</f>
        <v/>
      </c>
      <c r="T36" s="40">
        <f>Selbstkosten!G36*$D$6</f>
        <v/>
      </c>
      <c r="U36" s="40">
        <f>Selbstkosten!H36*$D$6</f>
        <v/>
      </c>
      <c r="V36" s="40">
        <f>Selbstkosten!I36*$D$6</f>
        <v/>
      </c>
      <c r="W36" s="40">
        <f>Selbstkosten!J36*$D$6</f>
        <v/>
      </c>
      <c r="X36" s="40">
        <f>Selbstkosten!K36*$D$6</f>
        <v/>
      </c>
      <c r="Y36" s="40">
        <f>Selbstkosten!L36*$D$6</f>
        <v/>
      </c>
      <c r="Z36" s="40">
        <f>Selbstkosten!M36*$D$6</f>
        <v/>
      </c>
      <c r="AA36" s="40">
        <f>Selbstkosten!N36*$D$6</f>
        <v/>
      </c>
      <c r="AB36" s="40">
        <f>Selbstkosten!O36*$D$6</f>
        <v/>
      </c>
      <c r="AC36" s="28">
        <f>SUM(Q36:AB36)</f>
        <v/>
      </c>
      <c r="AD36" s="77">
        <f>P36+AC36</f>
        <v/>
      </c>
    </row>
    <row r="37">
      <c r="A37" s="68">
        <f>Stammdaten!A37</f>
        <v/>
      </c>
      <c r="B37" s="69">
        <f>Stammdaten!B37</f>
        <v/>
      </c>
      <c r="C37" s="69">
        <f>Stammdaten!C37</f>
        <v/>
      </c>
      <c r="D37" s="40">
        <f>Selbstkosten!D37*$D$5</f>
        <v/>
      </c>
      <c r="E37" s="40">
        <f>Selbstkosten!E37*$D$5</f>
        <v/>
      </c>
      <c r="F37" s="40">
        <f>Selbstkosten!F37*$D$5</f>
        <v/>
      </c>
      <c r="G37" s="40">
        <f>Selbstkosten!G37*$D$5</f>
        <v/>
      </c>
      <c r="H37" s="40">
        <f>Selbstkosten!H37*$D$5</f>
        <v/>
      </c>
      <c r="I37" s="40">
        <f>Selbstkosten!I37*$D$5</f>
        <v/>
      </c>
      <c r="J37" s="40">
        <f>Selbstkosten!J37*$D$5</f>
        <v/>
      </c>
      <c r="K37" s="40">
        <f>Selbstkosten!K37*$D$5</f>
        <v/>
      </c>
      <c r="L37" s="40">
        <f>Selbstkosten!L37*$D$5</f>
        <v/>
      </c>
      <c r="M37" s="40">
        <f>Selbstkosten!M37*$D$5</f>
        <v/>
      </c>
      <c r="N37" s="40">
        <f>Selbstkosten!N37*$D$5</f>
        <v/>
      </c>
      <c r="O37" s="40">
        <f>Selbstkosten!O37*$D$5</f>
        <v/>
      </c>
      <c r="P37" s="28">
        <f>SUM(D37:O37)</f>
        <v/>
      </c>
      <c r="Q37" s="40">
        <f>Selbstkosten!D37*$D$6</f>
        <v/>
      </c>
      <c r="R37" s="40">
        <f>Selbstkosten!E37*$D$6</f>
        <v/>
      </c>
      <c r="S37" s="40">
        <f>Selbstkosten!F37*$D$6</f>
        <v/>
      </c>
      <c r="T37" s="40">
        <f>Selbstkosten!G37*$D$6</f>
        <v/>
      </c>
      <c r="U37" s="40">
        <f>Selbstkosten!H37*$D$6</f>
        <v/>
      </c>
      <c r="V37" s="40">
        <f>Selbstkosten!I37*$D$6</f>
        <v/>
      </c>
      <c r="W37" s="40">
        <f>Selbstkosten!J37*$D$6</f>
        <v/>
      </c>
      <c r="X37" s="40">
        <f>Selbstkosten!K37*$D$6</f>
        <v/>
      </c>
      <c r="Y37" s="40">
        <f>Selbstkosten!L37*$D$6</f>
        <v/>
      </c>
      <c r="Z37" s="40">
        <f>Selbstkosten!M37*$D$6</f>
        <v/>
      </c>
      <c r="AA37" s="40">
        <f>Selbstkosten!N37*$D$6</f>
        <v/>
      </c>
      <c r="AB37" s="40">
        <f>Selbstkosten!O37*$D$6</f>
        <v/>
      </c>
      <c r="AC37" s="28">
        <f>SUM(Q37:AB37)</f>
        <v/>
      </c>
      <c r="AD37" s="77">
        <f>P37+AC37</f>
        <v/>
      </c>
    </row>
    <row r="38">
      <c r="A38" s="68">
        <f>Stammdaten!A38</f>
        <v/>
      </c>
      <c r="B38" s="69">
        <f>Stammdaten!B38</f>
        <v/>
      </c>
      <c r="C38" s="69">
        <f>Stammdaten!C38</f>
        <v/>
      </c>
      <c r="D38" s="40">
        <f>Selbstkosten!D38*$D$5</f>
        <v/>
      </c>
      <c r="E38" s="40">
        <f>Selbstkosten!E38*$D$5</f>
        <v/>
      </c>
      <c r="F38" s="40">
        <f>Selbstkosten!F38*$D$5</f>
        <v/>
      </c>
      <c r="G38" s="40">
        <f>Selbstkosten!G38*$D$5</f>
        <v/>
      </c>
      <c r="H38" s="40">
        <f>Selbstkosten!H38*$D$5</f>
        <v/>
      </c>
      <c r="I38" s="40">
        <f>Selbstkosten!I38*$D$5</f>
        <v/>
      </c>
      <c r="J38" s="40">
        <f>Selbstkosten!J38*$D$5</f>
        <v/>
      </c>
      <c r="K38" s="40">
        <f>Selbstkosten!K38*$D$5</f>
        <v/>
      </c>
      <c r="L38" s="40">
        <f>Selbstkosten!L38*$D$5</f>
        <v/>
      </c>
      <c r="M38" s="40">
        <f>Selbstkosten!M38*$D$5</f>
        <v/>
      </c>
      <c r="N38" s="40">
        <f>Selbstkosten!N38*$D$5</f>
        <v/>
      </c>
      <c r="O38" s="40">
        <f>Selbstkosten!O38*$D$5</f>
        <v/>
      </c>
      <c r="P38" s="28">
        <f>SUM(D38:O38)</f>
        <v/>
      </c>
      <c r="Q38" s="40">
        <f>Selbstkosten!D38*$D$6</f>
        <v/>
      </c>
      <c r="R38" s="40">
        <f>Selbstkosten!E38*$D$6</f>
        <v/>
      </c>
      <c r="S38" s="40">
        <f>Selbstkosten!F38*$D$6</f>
        <v/>
      </c>
      <c r="T38" s="40">
        <f>Selbstkosten!G38*$D$6</f>
        <v/>
      </c>
      <c r="U38" s="40">
        <f>Selbstkosten!H38*$D$6</f>
        <v/>
      </c>
      <c r="V38" s="40">
        <f>Selbstkosten!I38*$D$6</f>
        <v/>
      </c>
      <c r="W38" s="40">
        <f>Selbstkosten!J38*$D$6</f>
        <v/>
      </c>
      <c r="X38" s="40">
        <f>Selbstkosten!K38*$D$6</f>
        <v/>
      </c>
      <c r="Y38" s="40">
        <f>Selbstkosten!L38*$D$6</f>
        <v/>
      </c>
      <c r="Z38" s="40">
        <f>Selbstkosten!M38*$D$6</f>
        <v/>
      </c>
      <c r="AA38" s="40">
        <f>Selbstkosten!N38*$D$6</f>
        <v/>
      </c>
      <c r="AB38" s="40">
        <f>Selbstkosten!O38*$D$6</f>
        <v/>
      </c>
      <c r="AC38" s="28">
        <f>SUM(Q38:AB38)</f>
        <v/>
      </c>
      <c r="AD38" s="77">
        <f>P38+AC38</f>
        <v/>
      </c>
    </row>
    <row r="39">
      <c r="A39" s="71">
        <f>Stammdaten!A39</f>
        <v/>
      </c>
      <c r="B39" s="72">
        <f>Stammdaten!B39</f>
        <v/>
      </c>
      <c r="C39" s="72">
        <f>Stammdaten!C39</f>
        <v/>
      </c>
      <c r="D39" s="40">
        <f>Selbstkosten!D39*$D$5</f>
        <v/>
      </c>
      <c r="E39" s="40">
        <f>Selbstkosten!E39*$D$5</f>
        <v/>
      </c>
      <c r="F39" s="40">
        <f>Selbstkosten!F39*$D$5</f>
        <v/>
      </c>
      <c r="G39" s="40">
        <f>Selbstkosten!G39*$D$5</f>
        <v/>
      </c>
      <c r="H39" s="40">
        <f>Selbstkosten!H39*$D$5</f>
        <v/>
      </c>
      <c r="I39" s="40">
        <f>Selbstkosten!I39*$D$5</f>
        <v/>
      </c>
      <c r="J39" s="40">
        <f>Selbstkosten!J39*$D$5</f>
        <v/>
      </c>
      <c r="K39" s="40">
        <f>Selbstkosten!K39*$D$5</f>
        <v/>
      </c>
      <c r="L39" s="40">
        <f>Selbstkosten!L39*$D$5</f>
        <v/>
      </c>
      <c r="M39" s="40">
        <f>Selbstkosten!M39*$D$5</f>
        <v/>
      </c>
      <c r="N39" s="40">
        <f>Selbstkosten!N39*$D$5</f>
        <v/>
      </c>
      <c r="O39" s="40">
        <f>Selbstkosten!O39*$D$5</f>
        <v/>
      </c>
      <c r="P39" s="28">
        <f>SUM(D39:O39)</f>
        <v/>
      </c>
      <c r="Q39" s="40">
        <f>Selbstkosten!D39*$D$6</f>
        <v/>
      </c>
      <c r="R39" s="40">
        <f>Selbstkosten!E39*$D$6</f>
        <v/>
      </c>
      <c r="S39" s="40">
        <f>Selbstkosten!F39*$D$6</f>
        <v/>
      </c>
      <c r="T39" s="40">
        <f>Selbstkosten!G39*$D$6</f>
        <v/>
      </c>
      <c r="U39" s="40">
        <f>Selbstkosten!H39*$D$6</f>
        <v/>
      </c>
      <c r="V39" s="40">
        <f>Selbstkosten!I39*$D$6</f>
        <v/>
      </c>
      <c r="W39" s="40">
        <f>Selbstkosten!J39*$D$6</f>
        <v/>
      </c>
      <c r="X39" s="40">
        <f>Selbstkosten!K39*$D$6</f>
        <v/>
      </c>
      <c r="Y39" s="40">
        <f>Selbstkosten!L39*$D$6</f>
        <v/>
      </c>
      <c r="Z39" s="40">
        <f>Selbstkosten!M39*$D$6</f>
        <v/>
      </c>
      <c r="AA39" s="40">
        <f>Selbstkosten!N39*$D$6</f>
        <v/>
      </c>
      <c r="AB39" s="40">
        <f>Selbstkosten!O39*$D$6</f>
        <v/>
      </c>
      <c r="AC39" s="28">
        <f>SUM(Q39:AB39)</f>
        <v/>
      </c>
      <c r="AD39" s="77">
        <f>P39+AC39</f>
        <v/>
      </c>
    </row>
    <row r="40">
      <c r="A40" s="71">
        <f>Stammdaten!A40</f>
        <v/>
      </c>
      <c r="B40" s="72">
        <f>Stammdaten!B40</f>
        <v/>
      </c>
      <c r="C40" s="72">
        <f>Stammdaten!C40</f>
        <v/>
      </c>
      <c r="D40" s="40">
        <f>Selbstkosten!D40*$D$5</f>
        <v/>
      </c>
      <c r="E40" s="40">
        <f>Selbstkosten!E40*$D$5</f>
        <v/>
      </c>
      <c r="F40" s="40">
        <f>Selbstkosten!F40*$D$5</f>
        <v/>
      </c>
      <c r="G40" s="40">
        <f>Selbstkosten!G40*$D$5</f>
        <v/>
      </c>
      <c r="H40" s="40">
        <f>Selbstkosten!H40*$D$5</f>
        <v/>
      </c>
      <c r="I40" s="40">
        <f>Selbstkosten!I40*$D$5</f>
        <v/>
      </c>
      <c r="J40" s="40">
        <f>Selbstkosten!J40*$D$5</f>
        <v/>
      </c>
      <c r="K40" s="40">
        <f>Selbstkosten!K40*$D$5</f>
        <v/>
      </c>
      <c r="L40" s="40">
        <f>Selbstkosten!L40*$D$5</f>
        <v/>
      </c>
      <c r="M40" s="40">
        <f>Selbstkosten!M40*$D$5</f>
        <v/>
      </c>
      <c r="N40" s="40">
        <f>Selbstkosten!N40*$D$5</f>
        <v/>
      </c>
      <c r="O40" s="40">
        <f>Selbstkosten!O40*$D$5</f>
        <v/>
      </c>
      <c r="P40" s="28">
        <f>SUM(D40:O40)</f>
        <v/>
      </c>
      <c r="Q40" s="40">
        <f>Selbstkosten!D40*$D$6</f>
        <v/>
      </c>
      <c r="R40" s="40">
        <f>Selbstkosten!E40*$D$6</f>
        <v/>
      </c>
      <c r="S40" s="40">
        <f>Selbstkosten!F40*$D$6</f>
        <v/>
      </c>
      <c r="T40" s="40">
        <f>Selbstkosten!G40*$D$6</f>
        <v/>
      </c>
      <c r="U40" s="40">
        <f>Selbstkosten!H40*$D$6</f>
        <v/>
      </c>
      <c r="V40" s="40">
        <f>Selbstkosten!I40*$D$6</f>
        <v/>
      </c>
      <c r="W40" s="40">
        <f>Selbstkosten!J40*$D$6</f>
        <v/>
      </c>
      <c r="X40" s="40">
        <f>Selbstkosten!K40*$D$6</f>
        <v/>
      </c>
      <c r="Y40" s="40">
        <f>Selbstkosten!L40*$D$6</f>
        <v/>
      </c>
      <c r="Z40" s="40">
        <f>Selbstkosten!M40*$D$6</f>
        <v/>
      </c>
      <c r="AA40" s="40">
        <f>Selbstkosten!N40*$D$6</f>
        <v/>
      </c>
      <c r="AB40" s="40">
        <f>Selbstkosten!O40*$D$6</f>
        <v/>
      </c>
      <c r="AC40" s="28">
        <f>SUM(Q40:AB40)</f>
        <v/>
      </c>
      <c r="AD40" s="77">
        <f>P40+AC40</f>
        <v/>
      </c>
    </row>
    <row r="41">
      <c r="A41" s="71">
        <f>Stammdaten!A41</f>
        <v/>
      </c>
      <c r="B41" s="72">
        <f>Stammdaten!B41</f>
        <v/>
      </c>
      <c r="C41" s="72">
        <f>Stammdaten!C41</f>
        <v/>
      </c>
      <c r="D41" s="40">
        <f>Selbstkosten!D41*$D$5</f>
        <v/>
      </c>
      <c r="E41" s="40">
        <f>Selbstkosten!E41*$D$5</f>
        <v/>
      </c>
      <c r="F41" s="40">
        <f>Selbstkosten!F41*$D$5</f>
        <v/>
      </c>
      <c r="G41" s="40">
        <f>Selbstkosten!G41*$D$5</f>
        <v/>
      </c>
      <c r="H41" s="40">
        <f>Selbstkosten!H41*$D$5</f>
        <v/>
      </c>
      <c r="I41" s="40">
        <f>Selbstkosten!I41*$D$5</f>
        <v/>
      </c>
      <c r="J41" s="40">
        <f>Selbstkosten!J41*$D$5</f>
        <v/>
      </c>
      <c r="K41" s="40">
        <f>Selbstkosten!K41*$D$5</f>
        <v/>
      </c>
      <c r="L41" s="40">
        <f>Selbstkosten!L41*$D$5</f>
        <v/>
      </c>
      <c r="M41" s="40">
        <f>Selbstkosten!M41*$D$5</f>
        <v/>
      </c>
      <c r="N41" s="40">
        <f>Selbstkosten!N41*$D$5</f>
        <v/>
      </c>
      <c r="O41" s="40">
        <f>Selbstkosten!O41*$D$5</f>
        <v/>
      </c>
      <c r="P41" s="28">
        <f>SUM(D41:O41)</f>
        <v/>
      </c>
      <c r="Q41" s="40">
        <f>Selbstkosten!D41*$D$6</f>
        <v/>
      </c>
      <c r="R41" s="40">
        <f>Selbstkosten!E41*$D$6</f>
        <v/>
      </c>
      <c r="S41" s="40">
        <f>Selbstkosten!F41*$D$6</f>
        <v/>
      </c>
      <c r="T41" s="40">
        <f>Selbstkosten!G41*$D$6</f>
        <v/>
      </c>
      <c r="U41" s="40">
        <f>Selbstkosten!H41*$D$6</f>
        <v/>
      </c>
      <c r="V41" s="40">
        <f>Selbstkosten!I41*$D$6</f>
        <v/>
      </c>
      <c r="W41" s="40">
        <f>Selbstkosten!J41*$D$6</f>
        <v/>
      </c>
      <c r="X41" s="40">
        <f>Selbstkosten!K41*$D$6</f>
        <v/>
      </c>
      <c r="Y41" s="40">
        <f>Selbstkosten!L41*$D$6</f>
        <v/>
      </c>
      <c r="Z41" s="40">
        <f>Selbstkosten!M41*$D$6</f>
        <v/>
      </c>
      <c r="AA41" s="40">
        <f>Selbstkosten!N41*$D$6</f>
        <v/>
      </c>
      <c r="AB41" s="40">
        <f>Selbstkosten!O41*$D$6</f>
        <v/>
      </c>
      <c r="AC41" s="28">
        <f>SUM(Q41:AB41)</f>
        <v/>
      </c>
      <c r="AD41" s="77">
        <f>P41+AC41</f>
        <v/>
      </c>
    </row>
    <row r="42">
      <c r="A42" s="71">
        <f>Stammdaten!A42</f>
        <v/>
      </c>
      <c r="B42" s="72">
        <f>Stammdaten!B42</f>
        <v/>
      </c>
      <c r="C42" s="72">
        <f>Stammdaten!C42</f>
        <v/>
      </c>
      <c r="D42" s="40">
        <f>Selbstkosten!D42*$D$5</f>
        <v/>
      </c>
      <c r="E42" s="40">
        <f>Selbstkosten!E42*$D$5</f>
        <v/>
      </c>
      <c r="F42" s="40">
        <f>Selbstkosten!F42*$D$5</f>
        <v/>
      </c>
      <c r="G42" s="40">
        <f>Selbstkosten!G42*$D$5</f>
        <v/>
      </c>
      <c r="H42" s="40">
        <f>Selbstkosten!H42*$D$5</f>
        <v/>
      </c>
      <c r="I42" s="40">
        <f>Selbstkosten!I42*$D$5</f>
        <v/>
      </c>
      <c r="J42" s="40">
        <f>Selbstkosten!J42*$D$5</f>
        <v/>
      </c>
      <c r="K42" s="40">
        <f>Selbstkosten!K42*$D$5</f>
        <v/>
      </c>
      <c r="L42" s="40">
        <f>Selbstkosten!L42*$D$5</f>
        <v/>
      </c>
      <c r="M42" s="40">
        <f>Selbstkosten!M42*$D$5</f>
        <v/>
      </c>
      <c r="N42" s="40">
        <f>Selbstkosten!N42*$D$5</f>
        <v/>
      </c>
      <c r="O42" s="40">
        <f>Selbstkosten!O42*$D$5</f>
        <v/>
      </c>
      <c r="P42" s="28">
        <f>SUM(D42:O42)</f>
        <v/>
      </c>
      <c r="Q42" s="40">
        <f>Selbstkosten!D42*$D$6</f>
        <v/>
      </c>
      <c r="R42" s="40">
        <f>Selbstkosten!E42*$D$6</f>
        <v/>
      </c>
      <c r="S42" s="40">
        <f>Selbstkosten!F42*$D$6</f>
        <v/>
      </c>
      <c r="T42" s="40">
        <f>Selbstkosten!G42*$D$6</f>
        <v/>
      </c>
      <c r="U42" s="40">
        <f>Selbstkosten!H42*$D$6</f>
        <v/>
      </c>
      <c r="V42" s="40">
        <f>Selbstkosten!I42*$D$6</f>
        <v/>
      </c>
      <c r="W42" s="40">
        <f>Selbstkosten!J42*$D$6</f>
        <v/>
      </c>
      <c r="X42" s="40">
        <f>Selbstkosten!K42*$D$6</f>
        <v/>
      </c>
      <c r="Y42" s="40">
        <f>Selbstkosten!L42*$D$6</f>
        <v/>
      </c>
      <c r="Z42" s="40">
        <f>Selbstkosten!M42*$D$6</f>
        <v/>
      </c>
      <c r="AA42" s="40">
        <f>Selbstkosten!N42*$D$6</f>
        <v/>
      </c>
      <c r="AB42" s="40">
        <f>Selbstkosten!O42*$D$6</f>
        <v/>
      </c>
      <c r="AC42" s="28">
        <f>SUM(Q42:AB42)</f>
        <v/>
      </c>
      <c r="AD42" s="77">
        <f>P42+AC42</f>
        <v/>
      </c>
    </row>
    <row r="43">
      <c r="A43" s="71">
        <f>Stammdaten!A43</f>
        <v/>
      </c>
      <c r="B43" s="72">
        <f>Stammdaten!B43</f>
        <v/>
      </c>
      <c r="C43" s="72">
        <f>Stammdaten!C43</f>
        <v/>
      </c>
      <c r="D43" s="40">
        <f>Selbstkosten!D43*$D$5</f>
        <v/>
      </c>
      <c r="E43" s="40">
        <f>Selbstkosten!E43*$D$5</f>
        <v/>
      </c>
      <c r="F43" s="40">
        <f>Selbstkosten!F43*$D$5</f>
        <v/>
      </c>
      <c r="G43" s="40">
        <f>Selbstkosten!G43*$D$5</f>
        <v/>
      </c>
      <c r="H43" s="40">
        <f>Selbstkosten!H43*$D$5</f>
        <v/>
      </c>
      <c r="I43" s="40">
        <f>Selbstkosten!I43*$D$5</f>
        <v/>
      </c>
      <c r="J43" s="40">
        <f>Selbstkosten!J43*$D$5</f>
        <v/>
      </c>
      <c r="K43" s="40">
        <f>Selbstkosten!K43*$D$5</f>
        <v/>
      </c>
      <c r="L43" s="40">
        <f>Selbstkosten!L43*$D$5</f>
        <v/>
      </c>
      <c r="M43" s="40">
        <f>Selbstkosten!M43*$D$5</f>
        <v/>
      </c>
      <c r="N43" s="40">
        <f>Selbstkosten!N43*$D$5</f>
        <v/>
      </c>
      <c r="O43" s="40">
        <f>Selbstkosten!O43*$D$5</f>
        <v/>
      </c>
      <c r="P43" s="28">
        <f>SUM(D43:O43)</f>
        <v/>
      </c>
      <c r="Q43" s="40">
        <f>Selbstkosten!D43*$D$6</f>
        <v/>
      </c>
      <c r="R43" s="40">
        <f>Selbstkosten!E43*$D$6</f>
        <v/>
      </c>
      <c r="S43" s="40">
        <f>Selbstkosten!F43*$D$6</f>
        <v/>
      </c>
      <c r="T43" s="40">
        <f>Selbstkosten!G43*$D$6</f>
        <v/>
      </c>
      <c r="U43" s="40">
        <f>Selbstkosten!H43*$D$6</f>
        <v/>
      </c>
      <c r="V43" s="40">
        <f>Selbstkosten!I43*$D$6</f>
        <v/>
      </c>
      <c r="W43" s="40">
        <f>Selbstkosten!J43*$D$6</f>
        <v/>
      </c>
      <c r="X43" s="40">
        <f>Selbstkosten!K43*$D$6</f>
        <v/>
      </c>
      <c r="Y43" s="40">
        <f>Selbstkosten!L43*$D$6</f>
        <v/>
      </c>
      <c r="Z43" s="40">
        <f>Selbstkosten!M43*$D$6</f>
        <v/>
      </c>
      <c r="AA43" s="40">
        <f>Selbstkosten!N43*$D$6</f>
        <v/>
      </c>
      <c r="AB43" s="40">
        <f>Selbstkosten!O43*$D$6</f>
        <v/>
      </c>
      <c r="AC43" s="28">
        <f>SUM(Q43:AB43)</f>
        <v/>
      </c>
      <c r="AD43" s="77">
        <f>P43+AC43</f>
        <v/>
      </c>
    </row>
    <row r="44">
      <c r="A44" s="71">
        <f>Stammdaten!A44</f>
        <v/>
      </c>
      <c r="B44" s="72">
        <f>Stammdaten!B44</f>
        <v/>
      </c>
      <c r="C44" s="72">
        <f>Stammdaten!C44</f>
        <v/>
      </c>
      <c r="D44" s="40">
        <f>Selbstkosten!D44*$D$5</f>
        <v/>
      </c>
      <c r="E44" s="40">
        <f>Selbstkosten!E44*$D$5</f>
        <v/>
      </c>
      <c r="F44" s="40">
        <f>Selbstkosten!F44*$D$5</f>
        <v/>
      </c>
      <c r="G44" s="40">
        <f>Selbstkosten!G44*$D$5</f>
        <v/>
      </c>
      <c r="H44" s="40">
        <f>Selbstkosten!H44*$D$5</f>
        <v/>
      </c>
      <c r="I44" s="40">
        <f>Selbstkosten!I44*$D$5</f>
        <v/>
      </c>
      <c r="J44" s="40">
        <f>Selbstkosten!J44*$D$5</f>
        <v/>
      </c>
      <c r="K44" s="40">
        <f>Selbstkosten!K44*$D$5</f>
        <v/>
      </c>
      <c r="L44" s="40">
        <f>Selbstkosten!L44*$D$5</f>
        <v/>
      </c>
      <c r="M44" s="40">
        <f>Selbstkosten!M44*$D$5</f>
        <v/>
      </c>
      <c r="N44" s="40">
        <f>Selbstkosten!N44*$D$5</f>
        <v/>
      </c>
      <c r="O44" s="40">
        <f>Selbstkosten!O44*$D$5</f>
        <v/>
      </c>
      <c r="P44" s="28">
        <f>SUM(D44:O44)</f>
        <v/>
      </c>
      <c r="Q44" s="40">
        <f>Selbstkosten!D44*$D$6</f>
        <v/>
      </c>
      <c r="R44" s="40">
        <f>Selbstkosten!E44*$D$6</f>
        <v/>
      </c>
      <c r="S44" s="40">
        <f>Selbstkosten!F44*$D$6</f>
        <v/>
      </c>
      <c r="T44" s="40">
        <f>Selbstkosten!G44*$D$6</f>
        <v/>
      </c>
      <c r="U44" s="40">
        <f>Selbstkosten!H44*$D$6</f>
        <v/>
      </c>
      <c r="V44" s="40">
        <f>Selbstkosten!I44*$D$6</f>
        <v/>
      </c>
      <c r="W44" s="40">
        <f>Selbstkosten!J44*$D$6</f>
        <v/>
      </c>
      <c r="X44" s="40">
        <f>Selbstkosten!K44*$D$6</f>
        <v/>
      </c>
      <c r="Y44" s="40">
        <f>Selbstkosten!L44*$D$6</f>
        <v/>
      </c>
      <c r="Z44" s="40">
        <f>Selbstkosten!M44*$D$6</f>
        <v/>
      </c>
      <c r="AA44" s="40">
        <f>Selbstkosten!N44*$D$6</f>
        <v/>
      </c>
      <c r="AB44" s="40">
        <f>Selbstkosten!O44*$D$6</f>
        <v/>
      </c>
      <c r="AC44" s="28">
        <f>SUM(Q44:AB44)</f>
        <v/>
      </c>
      <c r="AD44" s="77">
        <f>P44+AC44</f>
        <v/>
      </c>
    </row>
    <row r="45">
      <c r="A45" s="71">
        <f>Stammdaten!A45</f>
        <v/>
      </c>
      <c r="B45" s="72">
        <f>Stammdaten!B45</f>
        <v/>
      </c>
      <c r="C45" s="72">
        <f>Stammdaten!C45</f>
        <v/>
      </c>
      <c r="D45" s="40">
        <f>Selbstkosten!D45*$D$5</f>
        <v/>
      </c>
      <c r="E45" s="40">
        <f>Selbstkosten!E45*$D$5</f>
        <v/>
      </c>
      <c r="F45" s="40">
        <f>Selbstkosten!F45*$D$5</f>
        <v/>
      </c>
      <c r="G45" s="40">
        <f>Selbstkosten!G45*$D$5</f>
        <v/>
      </c>
      <c r="H45" s="40">
        <f>Selbstkosten!H45*$D$5</f>
        <v/>
      </c>
      <c r="I45" s="40">
        <f>Selbstkosten!I45*$D$5</f>
        <v/>
      </c>
      <c r="J45" s="40">
        <f>Selbstkosten!J45*$D$5</f>
        <v/>
      </c>
      <c r="K45" s="40">
        <f>Selbstkosten!K45*$D$5</f>
        <v/>
      </c>
      <c r="L45" s="40">
        <f>Selbstkosten!L45*$D$5</f>
        <v/>
      </c>
      <c r="M45" s="40">
        <f>Selbstkosten!M45*$D$5</f>
        <v/>
      </c>
      <c r="N45" s="40">
        <f>Selbstkosten!N45*$D$5</f>
        <v/>
      </c>
      <c r="O45" s="40">
        <f>Selbstkosten!O45*$D$5</f>
        <v/>
      </c>
      <c r="P45" s="28">
        <f>SUM(D45:O45)</f>
        <v/>
      </c>
      <c r="Q45" s="40">
        <f>Selbstkosten!D45*$D$6</f>
        <v/>
      </c>
      <c r="R45" s="40">
        <f>Selbstkosten!E45*$D$6</f>
        <v/>
      </c>
      <c r="S45" s="40">
        <f>Selbstkosten!F45*$D$6</f>
        <v/>
      </c>
      <c r="T45" s="40">
        <f>Selbstkosten!G45*$D$6</f>
        <v/>
      </c>
      <c r="U45" s="40">
        <f>Selbstkosten!H45*$D$6</f>
        <v/>
      </c>
      <c r="V45" s="40">
        <f>Selbstkosten!I45*$D$6</f>
        <v/>
      </c>
      <c r="W45" s="40">
        <f>Selbstkosten!J45*$D$6</f>
        <v/>
      </c>
      <c r="X45" s="40">
        <f>Selbstkosten!K45*$D$6</f>
        <v/>
      </c>
      <c r="Y45" s="40">
        <f>Selbstkosten!L45*$D$6</f>
        <v/>
      </c>
      <c r="Z45" s="40">
        <f>Selbstkosten!M45*$D$6</f>
        <v/>
      </c>
      <c r="AA45" s="40">
        <f>Selbstkosten!N45*$D$6</f>
        <v/>
      </c>
      <c r="AB45" s="40">
        <f>Selbstkosten!O45*$D$6</f>
        <v/>
      </c>
      <c r="AC45" s="28">
        <f>SUM(Q45:AB45)</f>
        <v/>
      </c>
      <c r="AD45" s="77">
        <f>P45+AC45</f>
        <v/>
      </c>
    </row>
    <row r="46">
      <c r="A46" s="71">
        <f>Stammdaten!A46</f>
        <v/>
      </c>
      <c r="B46" s="72">
        <f>Stammdaten!B46</f>
        <v/>
      </c>
      <c r="C46" s="72">
        <f>Stammdaten!C46</f>
        <v/>
      </c>
      <c r="D46" s="40">
        <f>Selbstkosten!D46*$D$5</f>
        <v/>
      </c>
      <c r="E46" s="40">
        <f>Selbstkosten!E46*$D$5</f>
        <v/>
      </c>
      <c r="F46" s="40">
        <f>Selbstkosten!F46*$D$5</f>
        <v/>
      </c>
      <c r="G46" s="40">
        <f>Selbstkosten!G46*$D$5</f>
        <v/>
      </c>
      <c r="H46" s="40">
        <f>Selbstkosten!H46*$D$5</f>
        <v/>
      </c>
      <c r="I46" s="40">
        <f>Selbstkosten!I46*$D$5</f>
        <v/>
      </c>
      <c r="J46" s="40">
        <f>Selbstkosten!J46*$D$5</f>
        <v/>
      </c>
      <c r="K46" s="40">
        <f>Selbstkosten!K46*$D$5</f>
        <v/>
      </c>
      <c r="L46" s="40">
        <f>Selbstkosten!L46*$D$5</f>
        <v/>
      </c>
      <c r="M46" s="40">
        <f>Selbstkosten!M46*$D$5</f>
        <v/>
      </c>
      <c r="N46" s="40">
        <f>Selbstkosten!N46*$D$5</f>
        <v/>
      </c>
      <c r="O46" s="40">
        <f>Selbstkosten!O46*$D$5</f>
        <v/>
      </c>
      <c r="P46" s="28">
        <f>SUM(D46:O46)</f>
        <v/>
      </c>
      <c r="Q46" s="40">
        <f>Selbstkosten!D46*$D$6</f>
        <v/>
      </c>
      <c r="R46" s="40">
        <f>Selbstkosten!E46*$D$6</f>
        <v/>
      </c>
      <c r="S46" s="40">
        <f>Selbstkosten!F46*$D$6</f>
        <v/>
      </c>
      <c r="T46" s="40">
        <f>Selbstkosten!G46*$D$6</f>
        <v/>
      </c>
      <c r="U46" s="40">
        <f>Selbstkosten!H46*$D$6</f>
        <v/>
      </c>
      <c r="V46" s="40">
        <f>Selbstkosten!I46*$D$6</f>
        <v/>
      </c>
      <c r="W46" s="40">
        <f>Selbstkosten!J46*$D$6</f>
        <v/>
      </c>
      <c r="X46" s="40">
        <f>Selbstkosten!K46*$D$6</f>
        <v/>
      </c>
      <c r="Y46" s="40">
        <f>Selbstkosten!L46*$D$6</f>
        <v/>
      </c>
      <c r="Z46" s="40">
        <f>Selbstkosten!M46*$D$6</f>
        <v/>
      </c>
      <c r="AA46" s="40">
        <f>Selbstkosten!N46*$D$6</f>
        <v/>
      </c>
      <c r="AB46" s="40">
        <f>Selbstkosten!O46*$D$6</f>
        <v/>
      </c>
      <c r="AC46" s="28">
        <f>SUM(Q46:AB46)</f>
        <v/>
      </c>
      <c r="AD46" s="77">
        <f>P46+AC46</f>
        <v/>
      </c>
    </row>
    <row r="47">
      <c r="A47" s="71">
        <f>Stammdaten!A47</f>
        <v/>
      </c>
      <c r="B47" s="72">
        <f>Stammdaten!B47</f>
        <v/>
      </c>
      <c r="C47" s="72">
        <f>Stammdaten!C47</f>
        <v/>
      </c>
      <c r="D47" s="40">
        <f>Selbstkosten!D47*$D$5</f>
        <v/>
      </c>
      <c r="E47" s="40">
        <f>Selbstkosten!E47*$D$5</f>
        <v/>
      </c>
      <c r="F47" s="40">
        <f>Selbstkosten!F47*$D$5</f>
        <v/>
      </c>
      <c r="G47" s="40">
        <f>Selbstkosten!G47*$D$5</f>
        <v/>
      </c>
      <c r="H47" s="40">
        <f>Selbstkosten!H47*$D$5</f>
        <v/>
      </c>
      <c r="I47" s="40">
        <f>Selbstkosten!I47*$D$5</f>
        <v/>
      </c>
      <c r="J47" s="40">
        <f>Selbstkosten!J47*$D$5</f>
        <v/>
      </c>
      <c r="K47" s="40">
        <f>Selbstkosten!K47*$D$5</f>
        <v/>
      </c>
      <c r="L47" s="40">
        <f>Selbstkosten!L47*$D$5</f>
        <v/>
      </c>
      <c r="M47" s="40">
        <f>Selbstkosten!M47*$D$5</f>
        <v/>
      </c>
      <c r="N47" s="40">
        <f>Selbstkosten!N47*$D$5</f>
        <v/>
      </c>
      <c r="O47" s="40">
        <f>Selbstkosten!O47*$D$5</f>
        <v/>
      </c>
      <c r="P47" s="28">
        <f>SUM(D47:O47)</f>
        <v/>
      </c>
      <c r="Q47" s="40">
        <f>Selbstkosten!D47*$D$6</f>
        <v/>
      </c>
      <c r="R47" s="40">
        <f>Selbstkosten!E47*$D$6</f>
        <v/>
      </c>
      <c r="S47" s="40">
        <f>Selbstkosten!F47*$D$6</f>
        <v/>
      </c>
      <c r="T47" s="40">
        <f>Selbstkosten!G47*$D$6</f>
        <v/>
      </c>
      <c r="U47" s="40">
        <f>Selbstkosten!H47*$D$6</f>
        <v/>
      </c>
      <c r="V47" s="40">
        <f>Selbstkosten!I47*$D$6</f>
        <v/>
      </c>
      <c r="W47" s="40">
        <f>Selbstkosten!J47*$D$6</f>
        <v/>
      </c>
      <c r="X47" s="40">
        <f>Selbstkosten!K47*$D$6</f>
        <v/>
      </c>
      <c r="Y47" s="40">
        <f>Selbstkosten!L47*$D$6</f>
        <v/>
      </c>
      <c r="Z47" s="40">
        <f>Selbstkosten!M47*$D$6</f>
        <v/>
      </c>
      <c r="AA47" s="40">
        <f>Selbstkosten!N47*$D$6</f>
        <v/>
      </c>
      <c r="AB47" s="40">
        <f>Selbstkosten!O47*$D$6</f>
        <v/>
      </c>
      <c r="AC47" s="28">
        <f>SUM(Q47:AB47)</f>
        <v/>
      </c>
      <c r="AD47" s="77">
        <f>P47+AC47</f>
        <v/>
      </c>
    </row>
    <row r="48">
      <c r="A48" s="71">
        <f>Stammdaten!A48</f>
        <v/>
      </c>
      <c r="B48" s="72">
        <f>Stammdaten!B48</f>
        <v/>
      </c>
      <c r="C48" s="72">
        <f>Stammdaten!C48</f>
        <v/>
      </c>
      <c r="D48" s="40">
        <f>Selbstkosten!D48*$D$5</f>
        <v/>
      </c>
      <c r="E48" s="40">
        <f>Selbstkosten!E48*$D$5</f>
        <v/>
      </c>
      <c r="F48" s="40">
        <f>Selbstkosten!F48*$D$5</f>
        <v/>
      </c>
      <c r="G48" s="40">
        <f>Selbstkosten!G48*$D$5</f>
        <v/>
      </c>
      <c r="H48" s="40">
        <f>Selbstkosten!H48*$D$5</f>
        <v/>
      </c>
      <c r="I48" s="40">
        <f>Selbstkosten!I48*$D$5</f>
        <v/>
      </c>
      <c r="J48" s="40">
        <f>Selbstkosten!J48*$D$5</f>
        <v/>
      </c>
      <c r="K48" s="40">
        <f>Selbstkosten!K48*$D$5</f>
        <v/>
      </c>
      <c r="L48" s="40">
        <f>Selbstkosten!L48*$D$5</f>
        <v/>
      </c>
      <c r="M48" s="40">
        <f>Selbstkosten!M48*$D$5</f>
        <v/>
      </c>
      <c r="N48" s="40">
        <f>Selbstkosten!N48*$D$5</f>
        <v/>
      </c>
      <c r="O48" s="40">
        <f>Selbstkosten!O48*$D$5</f>
        <v/>
      </c>
      <c r="P48" s="28">
        <f>SUM(D48:O48)</f>
        <v/>
      </c>
      <c r="Q48" s="40">
        <f>Selbstkosten!D48*$D$6</f>
        <v/>
      </c>
      <c r="R48" s="40">
        <f>Selbstkosten!E48*$D$6</f>
        <v/>
      </c>
      <c r="S48" s="40">
        <f>Selbstkosten!F48*$D$6</f>
        <v/>
      </c>
      <c r="T48" s="40">
        <f>Selbstkosten!G48*$D$6</f>
        <v/>
      </c>
      <c r="U48" s="40">
        <f>Selbstkosten!H48*$D$6</f>
        <v/>
      </c>
      <c r="V48" s="40">
        <f>Selbstkosten!I48*$D$6</f>
        <v/>
      </c>
      <c r="W48" s="40">
        <f>Selbstkosten!J48*$D$6</f>
        <v/>
      </c>
      <c r="X48" s="40">
        <f>Selbstkosten!K48*$D$6</f>
        <v/>
      </c>
      <c r="Y48" s="40">
        <f>Selbstkosten!L48*$D$6</f>
        <v/>
      </c>
      <c r="Z48" s="40">
        <f>Selbstkosten!M48*$D$6</f>
        <v/>
      </c>
      <c r="AA48" s="40">
        <f>Selbstkosten!N48*$D$6</f>
        <v/>
      </c>
      <c r="AB48" s="40">
        <f>Selbstkosten!O48*$D$6</f>
        <v/>
      </c>
      <c r="AC48" s="28">
        <f>SUM(Q48:AB48)</f>
        <v/>
      </c>
      <c r="AD48" s="77">
        <f>P48+AC48</f>
        <v/>
      </c>
    </row>
    <row r="49">
      <c r="A49" s="68">
        <f>Stammdaten!A49</f>
        <v/>
      </c>
      <c r="B49" s="69">
        <f>Stammdaten!B49</f>
        <v/>
      </c>
      <c r="C49" s="69">
        <f>Stammdaten!C49</f>
        <v/>
      </c>
      <c r="D49" s="40">
        <f>Selbstkosten!D49*$D$5</f>
        <v/>
      </c>
      <c r="E49" s="40">
        <f>Selbstkosten!E49*$D$5</f>
        <v/>
      </c>
      <c r="F49" s="40">
        <f>Selbstkosten!F49*$D$5</f>
        <v/>
      </c>
      <c r="G49" s="40">
        <f>Selbstkosten!G49*$D$5</f>
        <v/>
      </c>
      <c r="H49" s="40">
        <f>Selbstkosten!H49*$D$5</f>
        <v/>
      </c>
      <c r="I49" s="40">
        <f>Selbstkosten!I49*$D$5</f>
        <v/>
      </c>
      <c r="J49" s="40">
        <f>Selbstkosten!J49*$D$5</f>
        <v/>
      </c>
      <c r="K49" s="40">
        <f>Selbstkosten!K49*$D$5</f>
        <v/>
      </c>
      <c r="L49" s="40">
        <f>Selbstkosten!L49*$D$5</f>
        <v/>
      </c>
      <c r="M49" s="40">
        <f>Selbstkosten!M49*$D$5</f>
        <v/>
      </c>
      <c r="N49" s="40">
        <f>Selbstkosten!N49*$D$5</f>
        <v/>
      </c>
      <c r="O49" s="40">
        <f>Selbstkosten!O49*$D$5</f>
        <v/>
      </c>
      <c r="P49" s="28">
        <f>SUM(D49:O49)</f>
        <v/>
      </c>
      <c r="Q49" s="40">
        <f>Selbstkosten!D49*$D$6</f>
        <v/>
      </c>
      <c r="R49" s="40">
        <f>Selbstkosten!E49*$D$6</f>
        <v/>
      </c>
      <c r="S49" s="40">
        <f>Selbstkosten!F49*$D$6</f>
        <v/>
      </c>
      <c r="T49" s="40">
        <f>Selbstkosten!G49*$D$6</f>
        <v/>
      </c>
      <c r="U49" s="40">
        <f>Selbstkosten!H49*$D$6</f>
        <v/>
      </c>
      <c r="V49" s="40">
        <f>Selbstkosten!I49*$D$6</f>
        <v/>
      </c>
      <c r="W49" s="40">
        <f>Selbstkosten!J49*$D$6</f>
        <v/>
      </c>
      <c r="X49" s="40">
        <f>Selbstkosten!K49*$D$6</f>
        <v/>
      </c>
      <c r="Y49" s="40">
        <f>Selbstkosten!L49*$D$6</f>
        <v/>
      </c>
      <c r="Z49" s="40">
        <f>Selbstkosten!M49*$D$6</f>
        <v/>
      </c>
      <c r="AA49" s="40">
        <f>Selbstkosten!N49*$D$6</f>
        <v/>
      </c>
      <c r="AB49" s="40">
        <f>Selbstkosten!O49*$D$6</f>
        <v/>
      </c>
      <c r="AC49" s="28">
        <f>SUM(Q49:AB49)</f>
        <v/>
      </c>
      <c r="AD49" s="77">
        <f>P49+AC49</f>
        <v/>
      </c>
    </row>
    <row r="50">
      <c r="A50" s="68">
        <f>Stammdaten!A50</f>
        <v/>
      </c>
      <c r="B50" s="69">
        <f>Stammdaten!B50</f>
        <v/>
      </c>
      <c r="C50" s="69">
        <f>Stammdaten!C50</f>
        <v/>
      </c>
      <c r="D50" s="40">
        <f>Selbstkosten!D50*$D$5</f>
        <v/>
      </c>
      <c r="E50" s="40">
        <f>Selbstkosten!E50*$D$5</f>
        <v/>
      </c>
      <c r="F50" s="40">
        <f>Selbstkosten!F50*$D$5</f>
        <v/>
      </c>
      <c r="G50" s="40">
        <f>Selbstkosten!G50*$D$5</f>
        <v/>
      </c>
      <c r="H50" s="40">
        <f>Selbstkosten!H50*$D$5</f>
        <v/>
      </c>
      <c r="I50" s="40">
        <f>Selbstkosten!I50*$D$5</f>
        <v/>
      </c>
      <c r="J50" s="40">
        <f>Selbstkosten!J50*$D$5</f>
        <v/>
      </c>
      <c r="K50" s="40">
        <f>Selbstkosten!K50*$D$5</f>
        <v/>
      </c>
      <c r="L50" s="40">
        <f>Selbstkosten!L50*$D$5</f>
        <v/>
      </c>
      <c r="M50" s="40">
        <f>Selbstkosten!M50*$D$5</f>
        <v/>
      </c>
      <c r="N50" s="40">
        <f>Selbstkosten!N50*$D$5</f>
        <v/>
      </c>
      <c r="O50" s="40">
        <f>Selbstkosten!O50*$D$5</f>
        <v/>
      </c>
      <c r="P50" s="28">
        <f>SUM(D50:O50)</f>
        <v/>
      </c>
      <c r="Q50" s="40">
        <f>Selbstkosten!D50*$D$6</f>
        <v/>
      </c>
      <c r="R50" s="40">
        <f>Selbstkosten!E50*$D$6</f>
        <v/>
      </c>
      <c r="S50" s="40">
        <f>Selbstkosten!F50*$D$6</f>
        <v/>
      </c>
      <c r="T50" s="40">
        <f>Selbstkosten!G50*$D$6</f>
        <v/>
      </c>
      <c r="U50" s="40">
        <f>Selbstkosten!H50*$D$6</f>
        <v/>
      </c>
      <c r="V50" s="40">
        <f>Selbstkosten!I50*$D$6</f>
        <v/>
      </c>
      <c r="W50" s="40">
        <f>Selbstkosten!J50*$D$6</f>
        <v/>
      </c>
      <c r="X50" s="40">
        <f>Selbstkosten!K50*$D$6</f>
        <v/>
      </c>
      <c r="Y50" s="40">
        <f>Selbstkosten!L50*$D$6</f>
        <v/>
      </c>
      <c r="Z50" s="40">
        <f>Selbstkosten!M50*$D$6</f>
        <v/>
      </c>
      <c r="AA50" s="40">
        <f>Selbstkosten!N50*$D$6</f>
        <v/>
      </c>
      <c r="AB50" s="40">
        <f>Selbstkosten!O50*$D$6</f>
        <v/>
      </c>
      <c r="AC50" s="28">
        <f>SUM(Q50:AB50)</f>
        <v/>
      </c>
      <c r="AD50" s="77">
        <f>P50+AC50</f>
        <v/>
      </c>
    </row>
    <row r="51">
      <c r="A51" s="68">
        <f>Stammdaten!A51</f>
        <v/>
      </c>
      <c r="B51" s="69">
        <f>Stammdaten!B51</f>
        <v/>
      </c>
      <c r="C51" s="69">
        <f>Stammdaten!C51</f>
        <v/>
      </c>
      <c r="D51" s="40">
        <f>Selbstkosten!D51*$D$5</f>
        <v/>
      </c>
      <c r="E51" s="40">
        <f>Selbstkosten!E51*$D$5</f>
        <v/>
      </c>
      <c r="F51" s="40">
        <f>Selbstkosten!F51*$D$5</f>
        <v/>
      </c>
      <c r="G51" s="40">
        <f>Selbstkosten!G51*$D$5</f>
        <v/>
      </c>
      <c r="H51" s="40">
        <f>Selbstkosten!H51*$D$5</f>
        <v/>
      </c>
      <c r="I51" s="40">
        <f>Selbstkosten!I51*$D$5</f>
        <v/>
      </c>
      <c r="J51" s="40">
        <f>Selbstkosten!J51*$D$5</f>
        <v/>
      </c>
      <c r="K51" s="40">
        <f>Selbstkosten!K51*$D$5</f>
        <v/>
      </c>
      <c r="L51" s="40">
        <f>Selbstkosten!L51*$D$5</f>
        <v/>
      </c>
      <c r="M51" s="40">
        <f>Selbstkosten!M51*$D$5</f>
        <v/>
      </c>
      <c r="N51" s="40">
        <f>Selbstkosten!N51*$D$5</f>
        <v/>
      </c>
      <c r="O51" s="40">
        <f>Selbstkosten!O51*$D$5</f>
        <v/>
      </c>
      <c r="P51" s="28">
        <f>SUM(D51:O51)</f>
        <v/>
      </c>
      <c r="Q51" s="40">
        <f>Selbstkosten!D51*$D$6</f>
        <v/>
      </c>
      <c r="R51" s="40">
        <f>Selbstkosten!E51*$D$6</f>
        <v/>
      </c>
      <c r="S51" s="40">
        <f>Selbstkosten!F51*$D$6</f>
        <v/>
      </c>
      <c r="T51" s="40">
        <f>Selbstkosten!G51*$D$6</f>
        <v/>
      </c>
      <c r="U51" s="40">
        <f>Selbstkosten!H51*$D$6</f>
        <v/>
      </c>
      <c r="V51" s="40">
        <f>Selbstkosten!I51*$D$6</f>
        <v/>
      </c>
      <c r="W51" s="40">
        <f>Selbstkosten!J51*$D$6</f>
        <v/>
      </c>
      <c r="X51" s="40">
        <f>Selbstkosten!K51*$D$6</f>
        <v/>
      </c>
      <c r="Y51" s="40">
        <f>Selbstkosten!L51*$D$6</f>
        <v/>
      </c>
      <c r="Z51" s="40">
        <f>Selbstkosten!M51*$D$6</f>
        <v/>
      </c>
      <c r="AA51" s="40">
        <f>Selbstkosten!N51*$D$6</f>
        <v/>
      </c>
      <c r="AB51" s="40">
        <f>Selbstkosten!O51*$D$6</f>
        <v/>
      </c>
      <c r="AC51" s="28">
        <f>SUM(Q51:AB51)</f>
        <v/>
      </c>
      <c r="AD51" s="77">
        <f>P51+AC51</f>
        <v/>
      </c>
    </row>
    <row r="52">
      <c r="A52" s="68">
        <f>Stammdaten!A52</f>
        <v/>
      </c>
      <c r="B52" s="69">
        <f>Stammdaten!B52</f>
        <v/>
      </c>
      <c r="C52" s="69">
        <f>Stammdaten!C52</f>
        <v/>
      </c>
      <c r="D52" s="40">
        <f>Selbstkosten!D52*$D$5</f>
        <v/>
      </c>
      <c r="E52" s="40">
        <f>Selbstkosten!E52*$D$5</f>
        <v/>
      </c>
      <c r="F52" s="40">
        <f>Selbstkosten!F52*$D$5</f>
        <v/>
      </c>
      <c r="G52" s="40">
        <f>Selbstkosten!G52*$D$5</f>
        <v/>
      </c>
      <c r="H52" s="40">
        <f>Selbstkosten!H52*$D$5</f>
        <v/>
      </c>
      <c r="I52" s="40">
        <f>Selbstkosten!I52*$D$5</f>
        <v/>
      </c>
      <c r="J52" s="40">
        <f>Selbstkosten!J52*$D$5</f>
        <v/>
      </c>
      <c r="K52" s="40">
        <f>Selbstkosten!K52*$D$5</f>
        <v/>
      </c>
      <c r="L52" s="40">
        <f>Selbstkosten!L52*$D$5</f>
        <v/>
      </c>
      <c r="M52" s="40">
        <f>Selbstkosten!M52*$D$5</f>
        <v/>
      </c>
      <c r="N52" s="40">
        <f>Selbstkosten!N52*$D$5</f>
        <v/>
      </c>
      <c r="O52" s="40">
        <f>Selbstkosten!O52*$D$5</f>
        <v/>
      </c>
      <c r="P52" s="28">
        <f>SUM(D52:O52)</f>
        <v/>
      </c>
      <c r="Q52" s="40">
        <f>Selbstkosten!D52*$D$6</f>
        <v/>
      </c>
      <c r="R52" s="40">
        <f>Selbstkosten!E52*$D$6</f>
        <v/>
      </c>
      <c r="S52" s="40">
        <f>Selbstkosten!F52*$D$6</f>
        <v/>
      </c>
      <c r="T52" s="40">
        <f>Selbstkosten!G52*$D$6</f>
        <v/>
      </c>
      <c r="U52" s="40">
        <f>Selbstkosten!H52*$D$6</f>
        <v/>
      </c>
      <c r="V52" s="40">
        <f>Selbstkosten!I52*$D$6</f>
        <v/>
      </c>
      <c r="W52" s="40">
        <f>Selbstkosten!J52*$D$6</f>
        <v/>
      </c>
      <c r="X52" s="40">
        <f>Selbstkosten!K52*$D$6</f>
        <v/>
      </c>
      <c r="Y52" s="40">
        <f>Selbstkosten!L52*$D$6</f>
        <v/>
      </c>
      <c r="Z52" s="40">
        <f>Selbstkosten!M52*$D$6</f>
        <v/>
      </c>
      <c r="AA52" s="40">
        <f>Selbstkosten!N52*$D$6</f>
        <v/>
      </c>
      <c r="AB52" s="40">
        <f>Selbstkosten!O52*$D$6</f>
        <v/>
      </c>
      <c r="AC52" s="28">
        <f>SUM(Q52:AB52)</f>
        <v/>
      </c>
      <c r="AD52" s="77">
        <f>P52+AC52</f>
        <v/>
      </c>
    </row>
    <row r="53">
      <c r="A53" s="68">
        <f>Stammdaten!A53</f>
        <v/>
      </c>
      <c r="B53" s="69">
        <f>Stammdaten!B53</f>
        <v/>
      </c>
      <c r="C53" s="69">
        <f>Stammdaten!C53</f>
        <v/>
      </c>
      <c r="D53" s="40">
        <f>Selbstkosten!D53*$D$5</f>
        <v/>
      </c>
      <c r="E53" s="40">
        <f>Selbstkosten!E53*$D$5</f>
        <v/>
      </c>
      <c r="F53" s="40">
        <f>Selbstkosten!F53*$D$5</f>
        <v/>
      </c>
      <c r="G53" s="40">
        <f>Selbstkosten!G53*$D$5</f>
        <v/>
      </c>
      <c r="H53" s="40">
        <f>Selbstkosten!H53*$D$5</f>
        <v/>
      </c>
      <c r="I53" s="40">
        <f>Selbstkosten!I53*$D$5</f>
        <v/>
      </c>
      <c r="J53" s="40">
        <f>Selbstkosten!J53*$D$5</f>
        <v/>
      </c>
      <c r="K53" s="40">
        <f>Selbstkosten!K53*$D$5</f>
        <v/>
      </c>
      <c r="L53" s="40">
        <f>Selbstkosten!L53*$D$5</f>
        <v/>
      </c>
      <c r="M53" s="40">
        <f>Selbstkosten!M53*$D$5</f>
        <v/>
      </c>
      <c r="N53" s="40">
        <f>Selbstkosten!N53*$D$5</f>
        <v/>
      </c>
      <c r="O53" s="40">
        <f>Selbstkosten!O53*$D$5</f>
        <v/>
      </c>
      <c r="P53" s="28">
        <f>SUM(D53:O53)</f>
        <v/>
      </c>
      <c r="Q53" s="40">
        <f>Selbstkosten!D53*$D$6</f>
        <v/>
      </c>
      <c r="R53" s="40">
        <f>Selbstkosten!E53*$D$6</f>
        <v/>
      </c>
      <c r="S53" s="40">
        <f>Selbstkosten!F53*$D$6</f>
        <v/>
      </c>
      <c r="T53" s="40">
        <f>Selbstkosten!G53*$D$6</f>
        <v/>
      </c>
      <c r="U53" s="40">
        <f>Selbstkosten!H53*$D$6</f>
        <v/>
      </c>
      <c r="V53" s="40">
        <f>Selbstkosten!I53*$D$6</f>
        <v/>
      </c>
      <c r="W53" s="40">
        <f>Selbstkosten!J53*$D$6</f>
        <v/>
      </c>
      <c r="X53" s="40">
        <f>Selbstkosten!K53*$D$6</f>
        <v/>
      </c>
      <c r="Y53" s="40">
        <f>Selbstkosten!L53*$D$6</f>
        <v/>
      </c>
      <c r="Z53" s="40">
        <f>Selbstkosten!M53*$D$6</f>
        <v/>
      </c>
      <c r="AA53" s="40">
        <f>Selbstkosten!N53*$D$6</f>
        <v/>
      </c>
      <c r="AB53" s="40">
        <f>Selbstkosten!O53*$D$6</f>
        <v/>
      </c>
      <c r="AC53" s="28">
        <f>SUM(Q53:AB53)</f>
        <v/>
      </c>
      <c r="AD53" s="77">
        <f>P53+AC53</f>
        <v/>
      </c>
    </row>
    <row r="54">
      <c r="A54" s="68">
        <f>Stammdaten!A54</f>
        <v/>
      </c>
      <c r="B54" s="69">
        <f>Stammdaten!B54</f>
        <v/>
      </c>
      <c r="C54" s="69">
        <f>Stammdaten!C54</f>
        <v/>
      </c>
      <c r="D54" s="40">
        <f>Selbstkosten!D54*$D$5</f>
        <v/>
      </c>
      <c r="E54" s="40">
        <f>Selbstkosten!E54*$D$5</f>
        <v/>
      </c>
      <c r="F54" s="40">
        <f>Selbstkosten!F54*$D$5</f>
        <v/>
      </c>
      <c r="G54" s="40">
        <f>Selbstkosten!G54*$D$5</f>
        <v/>
      </c>
      <c r="H54" s="40">
        <f>Selbstkosten!H54*$D$5</f>
        <v/>
      </c>
      <c r="I54" s="40">
        <f>Selbstkosten!I54*$D$5</f>
        <v/>
      </c>
      <c r="J54" s="40">
        <f>Selbstkosten!J54*$D$5</f>
        <v/>
      </c>
      <c r="K54" s="40">
        <f>Selbstkosten!K54*$D$5</f>
        <v/>
      </c>
      <c r="L54" s="40">
        <f>Selbstkosten!L54*$D$5</f>
        <v/>
      </c>
      <c r="M54" s="40">
        <f>Selbstkosten!M54*$D$5</f>
        <v/>
      </c>
      <c r="N54" s="40">
        <f>Selbstkosten!N54*$D$5</f>
        <v/>
      </c>
      <c r="O54" s="40">
        <f>Selbstkosten!O54*$D$5</f>
        <v/>
      </c>
      <c r="P54" s="28">
        <f>SUM(D54:O54)</f>
        <v/>
      </c>
      <c r="Q54" s="40">
        <f>Selbstkosten!D54*$D$6</f>
        <v/>
      </c>
      <c r="R54" s="40">
        <f>Selbstkosten!E54*$D$6</f>
        <v/>
      </c>
      <c r="S54" s="40">
        <f>Selbstkosten!F54*$D$6</f>
        <v/>
      </c>
      <c r="T54" s="40">
        <f>Selbstkosten!G54*$D$6</f>
        <v/>
      </c>
      <c r="U54" s="40">
        <f>Selbstkosten!H54*$D$6</f>
        <v/>
      </c>
      <c r="V54" s="40">
        <f>Selbstkosten!I54*$D$6</f>
        <v/>
      </c>
      <c r="W54" s="40">
        <f>Selbstkosten!J54*$D$6</f>
        <v/>
      </c>
      <c r="X54" s="40">
        <f>Selbstkosten!K54*$D$6</f>
        <v/>
      </c>
      <c r="Y54" s="40">
        <f>Selbstkosten!L54*$D$6</f>
        <v/>
      </c>
      <c r="Z54" s="40">
        <f>Selbstkosten!M54*$D$6</f>
        <v/>
      </c>
      <c r="AA54" s="40">
        <f>Selbstkosten!N54*$D$6</f>
        <v/>
      </c>
      <c r="AB54" s="40">
        <f>Selbstkosten!O54*$D$6</f>
        <v/>
      </c>
      <c r="AC54" s="28">
        <f>SUM(Q54:AB54)</f>
        <v/>
      </c>
      <c r="AD54" s="77">
        <f>P54+AC54</f>
        <v/>
      </c>
    </row>
    <row r="55">
      <c r="A55" s="68">
        <f>Stammdaten!A55</f>
        <v/>
      </c>
      <c r="B55" s="69">
        <f>Stammdaten!B55</f>
        <v/>
      </c>
      <c r="C55" s="69">
        <f>Stammdaten!C55</f>
        <v/>
      </c>
      <c r="D55" s="40">
        <f>Selbstkosten!D55*$D$5</f>
        <v/>
      </c>
      <c r="E55" s="40">
        <f>Selbstkosten!E55*$D$5</f>
        <v/>
      </c>
      <c r="F55" s="40">
        <f>Selbstkosten!F55*$D$5</f>
        <v/>
      </c>
      <c r="G55" s="40">
        <f>Selbstkosten!G55*$D$5</f>
        <v/>
      </c>
      <c r="H55" s="40">
        <f>Selbstkosten!H55*$D$5</f>
        <v/>
      </c>
      <c r="I55" s="40">
        <f>Selbstkosten!I55*$D$5</f>
        <v/>
      </c>
      <c r="J55" s="40">
        <f>Selbstkosten!J55*$D$5</f>
        <v/>
      </c>
      <c r="K55" s="40">
        <f>Selbstkosten!K55*$D$5</f>
        <v/>
      </c>
      <c r="L55" s="40">
        <f>Selbstkosten!L55*$D$5</f>
        <v/>
      </c>
      <c r="M55" s="40">
        <f>Selbstkosten!M55*$D$5</f>
        <v/>
      </c>
      <c r="N55" s="40">
        <f>Selbstkosten!N55*$D$5</f>
        <v/>
      </c>
      <c r="O55" s="40">
        <f>Selbstkosten!O55*$D$5</f>
        <v/>
      </c>
      <c r="P55" s="28">
        <f>SUM(D55:O55)</f>
        <v/>
      </c>
      <c r="Q55" s="40">
        <f>Selbstkosten!D55*$D$6</f>
        <v/>
      </c>
      <c r="R55" s="40">
        <f>Selbstkosten!E55*$D$6</f>
        <v/>
      </c>
      <c r="S55" s="40">
        <f>Selbstkosten!F55*$D$6</f>
        <v/>
      </c>
      <c r="T55" s="40">
        <f>Selbstkosten!G55*$D$6</f>
        <v/>
      </c>
      <c r="U55" s="40">
        <f>Selbstkosten!H55*$D$6</f>
        <v/>
      </c>
      <c r="V55" s="40">
        <f>Selbstkosten!I55*$D$6</f>
        <v/>
      </c>
      <c r="W55" s="40">
        <f>Selbstkosten!J55*$D$6</f>
        <v/>
      </c>
      <c r="X55" s="40">
        <f>Selbstkosten!K55*$D$6</f>
        <v/>
      </c>
      <c r="Y55" s="40">
        <f>Selbstkosten!L55*$D$6</f>
        <v/>
      </c>
      <c r="Z55" s="40">
        <f>Selbstkosten!M55*$D$6</f>
        <v/>
      </c>
      <c r="AA55" s="40">
        <f>Selbstkosten!N55*$D$6</f>
        <v/>
      </c>
      <c r="AB55" s="40">
        <f>Selbstkosten!O55*$D$6</f>
        <v/>
      </c>
      <c r="AC55" s="28">
        <f>SUM(Q55:AB55)</f>
        <v/>
      </c>
      <c r="AD55" s="77">
        <f>P55+AC55</f>
        <v/>
      </c>
    </row>
    <row r="56">
      <c r="A56" s="68">
        <f>Stammdaten!A56</f>
        <v/>
      </c>
      <c r="B56" s="69">
        <f>Stammdaten!B56</f>
        <v/>
      </c>
      <c r="C56" s="69">
        <f>Stammdaten!C56</f>
        <v/>
      </c>
      <c r="D56" s="40">
        <f>Selbstkosten!D56*$D$5</f>
        <v/>
      </c>
      <c r="E56" s="40">
        <f>Selbstkosten!E56*$D$5</f>
        <v/>
      </c>
      <c r="F56" s="40">
        <f>Selbstkosten!F56*$D$5</f>
        <v/>
      </c>
      <c r="G56" s="40">
        <f>Selbstkosten!G56*$D$5</f>
        <v/>
      </c>
      <c r="H56" s="40">
        <f>Selbstkosten!H56*$D$5</f>
        <v/>
      </c>
      <c r="I56" s="40">
        <f>Selbstkosten!I56*$D$5</f>
        <v/>
      </c>
      <c r="J56" s="40">
        <f>Selbstkosten!J56*$D$5</f>
        <v/>
      </c>
      <c r="K56" s="40">
        <f>Selbstkosten!K56*$D$5</f>
        <v/>
      </c>
      <c r="L56" s="40">
        <f>Selbstkosten!L56*$D$5</f>
        <v/>
      </c>
      <c r="M56" s="40">
        <f>Selbstkosten!M56*$D$5</f>
        <v/>
      </c>
      <c r="N56" s="40">
        <f>Selbstkosten!N56*$D$5</f>
        <v/>
      </c>
      <c r="O56" s="40">
        <f>Selbstkosten!O56*$D$5</f>
        <v/>
      </c>
      <c r="P56" s="28">
        <f>SUM(D56:O56)</f>
        <v/>
      </c>
      <c r="Q56" s="40">
        <f>Selbstkosten!D56*$D$6</f>
        <v/>
      </c>
      <c r="R56" s="40">
        <f>Selbstkosten!E56*$D$6</f>
        <v/>
      </c>
      <c r="S56" s="40">
        <f>Selbstkosten!F56*$D$6</f>
        <v/>
      </c>
      <c r="T56" s="40">
        <f>Selbstkosten!G56*$D$6</f>
        <v/>
      </c>
      <c r="U56" s="40">
        <f>Selbstkosten!H56*$D$6</f>
        <v/>
      </c>
      <c r="V56" s="40">
        <f>Selbstkosten!I56*$D$6</f>
        <v/>
      </c>
      <c r="W56" s="40">
        <f>Selbstkosten!J56*$D$6</f>
        <v/>
      </c>
      <c r="X56" s="40">
        <f>Selbstkosten!K56*$D$6</f>
        <v/>
      </c>
      <c r="Y56" s="40">
        <f>Selbstkosten!L56*$D$6</f>
        <v/>
      </c>
      <c r="Z56" s="40">
        <f>Selbstkosten!M56*$D$6</f>
        <v/>
      </c>
      <c r="AA56" s="40">
        <f>Selbstkosten!N56*$D$6</f>
        <v/>
      </c>
      <c r="AB56" s="40">
        <f>Selbstkosten!O56*$D$6</f>
        <v/>
      </c>
      <c r="AC56" s="28">
        <f>SUM(Q56:AB56)</f>
        <v/>
      </c>
      <c r="AD56" s="77">
        <f>P56+AC56</f>
        <v/>
      </c>
    </row>
    <row r="57">
      <c r="A57" s="68">
        <f>Stammdaten!A57</f>
        <v/>
      </c>
      <c r="B57" s="69">
        <f>Stammdaten!B57</f>
        <v/>
      </c>
      <c r="C57" s="69">
        <f>Stammdaten!C57</f>
        <v/>
      </c>
      <c r="D57" s="40">
        <f>Selbstkosten!D57*$D$5</f>
        <v/>
      </c>
      <c r="E57" s="40">
        <f>Selbstkosten!E57*$D$5</f>
        <v/>
      </c>
      <c r="F57" s="40">
        <f>Selbstkosten!F57*$D$5</f>
        <v/>
      </c>
      <c r="G57" s="40">
        <f>Selbstkosten!G57*$D$5</f>
        <v/>
      </c>
      <c r="H57" s="40">
        <f>Selbstkosten!H57*$D$5</f>
        <v/>
      </c>
      <c r="I57" s="40">
        <f>Selbstkosten!I57*$D$5</f>
        <v/>
      </c>
      <c r="J57" s="40">
        <f>Selbstkosten!J57*$D$5</f>
        <v/>
      </c>
      <c r="K57" s="40">
        <f>Selbstkosten!K57*$D$5</f>
        <v/>
      </c>
      <c r="L57" s="40">
        <f>Selbstkosten!L57*$D$5</f>
        <v/>
      </c>
      <c r="M57" s="40">
        <f>Selbstkosten!M57*$D$5</f>
        <v/>
      </c>
      <c r="N57" s="40">
        <f>Selbstkosten!N57*$D$5</f>
        <v/>
      </c>
      <c r="O57" s="40">
        <f>Selbstkosten!O57*$D$5</f>
        <v/>
      </c>
      <c r="P57" s="28">
        <f>SUM(D57:O57)</f>
        <v/>
      </c>
      <c r="Q57" s="40">
        <f>Selbstkosten!D57*$D$6</f>
        <v/>
      </c>
      <c r="R57" s="40">
        <f>Selbstkosten!E57*$D$6</f>
        <v/>
      </c>
      <c r="S57" s="40">
        <f>Selbstkosten!F57*$D$6</f>
        <v/>
      </c>
      <c r="T57" s="40">
        <f>Selbstkosten!G57*$D$6</f>
        <v/>
      </c>
      <c r="U57" s="40">
        <f>Selbstkosten!H57*$D$6</f>
        <v/>
      </c>
      <c r="V57" s="40">
        <f>Selbstkosten!I57*$D$6</f>
        <v/>
      </c>
      <c r="W57" s="40">
        <f>Selbstkosten!J57*$D$6</f>
        <v/>
      </c>
      <c r="X57" s="40">
        <f>Selbstkosten!K57*$D$6</f>
        <v/>
      </c>
      <c r="Y57" s="40">
        <f>Selbstkosten!L57*$D$6</f>
        <v/>
      </c>
      <c r="Z57" s="40">
        <f>Selbstkosten!M57*$D$6</f>
        <v/>
      </c>
      <c r="AA57" s="40">
        <f>Selbstkosten!N57*$D$6</f>
        <v/>
      </c>
      <c r="AB57" s="40">
        <f>Selbstkosten!O57*$D$6</f>
        <v/>
      </c>
      <c r="AC57" s="28">
        <f>SUM(Q57:AB57)</f>
        <v/>
      </c>
      <c r="AD57" s="77">
        <f>P57+AC57</f>
        <v/>
      </c>
    </row>
    <row r="58">
      <c r="A58" s="68">
        <f>Stammdaten!A58</f>
        <v/>
      </c>
      <c r="B58" s="69">
        <f>Stammdaten!B58</f>
        <v/>
      </c>
      <c r="C58" s="69">
        <f>Stammdaten!C58</f>
        <v/>
      </c>
      <c r="D58" s="40">
        <f>Selbstkosten!D58*$D$5</f>
        <v/>
      </c>
      <c r="E58" s="40">
        <f>Selbstkosten!E58*$D$5</f>
        <v/>
      </c>
      <c r="F58" s="40">
        <f>Selbstkosten!F58*$D$5</f>
        <v/>
      </c>
      <c r="G58" s="40">
        <f>Selbstkosten!G58*$D$5</f>
        <v/>
      </c>
      <c r="H58" s="40">
        <f>Selbstkosten!H58*$D$5</f>
        <v/>
      </c>
      <c r="I58" s="40">
        <f>Selbstkosten!I58*$D$5</f>
        <v/>
      </c>
      <c r="J58" s="40">
        <f>Selbstkosten!J58*$D$5</f>
        <v/>
      </c>
      <c r="K58" s="40">
        <f>Selbstkosten!K58*$D$5</f>
        <v/>
      </c>
      <c r="L58" s="40">
        <f>Selbstkosten!L58*$D$5</f>
        <v/>
      </c>
      <c r="M58" s="40">
        <f>Selbstkosten!M58*$D$5</f>
        <v/>
      </c>
      <c r="N58" s="40">
        <f>Selbstkosten!N58*$D$5</f>
        <v/>
      </c>
      <c r="O58" s="40">
        <f>Selbstkosten!O58*$D$5</f>
        <v/>
      </c>
      <c r="P58" s="28">
        <f>SUM(D58:O58)</f>
        <v/>
      </c>
      <c r="Q58" s="40">
        <f>Selbstkosten!D58*$D$6</f>
        <v/>
      </c>
      <c r="R58" s="40">
        <f>Selbstkosten!E58*$D$6</f>
        <v/>
      </c>
      <c r="S58" s="40">
        <f>Selbstkosten!F58*$D$6</f>
        <v/>
      </c>
      <c r="T58" s="40">
        <f>Selbstkosten!G58*$D$6</f>
        <v/>
      </c>
      <c r="U58" s="40">
        <f>Selbstkosten!H58*$D$6</f>
        <v/>
      </c>
      <c r="V58" s="40">
        <f>Selbstkosten!I58*$D$6</f>
        <v/>
      </c>
      <c r="W58" s="40">
        <f>Selbstkosten!J58*$D$6</f>
        <v/>
      </c>
      <c r="X58" s="40">
        <f>Selbstkosten!K58*$D$6</f>
        <v/>
      </c>
      <c r="Y58" s="40">
        <f>Selbstkosten!L58*$D$6</f>
        <v/>
      </c>
      <c r="Z58" s="40">
        <f>Selbstkosten!M58*$D$6</f>
        <v/>
      </c>
      <c r="AA58" s="40">
        <f>Selbstkosten!N58*$D$6</f>
        <v/>
      </c>
      <c r="AB58" s="40">
        <f>Selbstkosten!O58*$D$6</f>
        <v/>
      </c>
      <c r="AC58" s="28">
        <f>SUM(Q58:AB58)</f>
        <v/>
      </c>
      <c r="AD58" s="77">
        <f>P58+AC58</f>
        <v/>
      </c>
    </row>
    <row r="59">
      <c r="A59" s="71">
        <f>Stammdaten!A59</f>
        <v/>
      </c>
      <c r="B59" s="72">
        <f>Stammdaten!B59</f>
        <v/>
      </c>
      <c r="C59" s="72">
        <f>Stammdaten!C59</f>
        <v/>
      </c>
      <c r="D59" s="40">
        <f>Selbstkosten!D59*$D$5</f>
        <v/>
      </c>
      <c r="E59" s="40">
        <f>Selbstkosten!E59*$D$5</f>
        <v/>
      </c>
      <c r="F59" s="40">
        <f>Selbstkosten!F59*$D$5</f>
        <v/>
      </c>
      <c r="G59" s="40">
        <f>Selbstkosten!G59*$D$5</f>
        <v/>
      </c>
      <c r="H59" s="40">
        <f>Selbstkosten!H59*$D$5</f>
        <v/>
      </c>
      <c r="I59" s="40">
        <f>Selbstkosten!I59*$D$5</f>
        <v/>
      </c>
      <c r="J59" s="40">
        <f>Selbstkosten!J59*$D$5</f>
        <v/>
      </c>
      <c r="K59" s="40">
        <f>Selbstkosten!K59*$D$5</f>
        <v/>
      </c>
      <c r="L59" s="40">
        <f>Selbstkosten!L59*$D$5</f>
        <v/>
      </c>
      <c r="M59" s="40">
        <f>Selbstkosten!M59*$D$5</f>
        <v/>
      </c>
      <c r="N59" s="40">
        <f>Selbstkosten!N59*$D$5</f>
        <v/>
      </c>
      <c r="O59" s="40">
        <f>Selbstkosten!O59*$D$5</f>
        <v/>
      </c>
      <c r="P59" s="28">
        <f>SUM(D59:O59)</f>
        <v/>
      </c>
      <c r="Q59" s="40">
        <f>Selbstkosten!D59*$D$6</f>
        <v/>
      </c>
      <c r="R59" s="40">
        <f>Selbstkosten!E59*$D$6</f>
        <v/>
      </c>
      <c r="S59" s="40">
        <f>Selbstkosten!F59*$D$6</f>
        <v/>
      </c>
      <c r="T59" s="40">
        <f>Selbstkosten!G59*$D$6</f>
        <v/>
      </c>
      <c r="U59" s="40">
        <f>Selbstkosten!H59*$D$6</f>
        <v/>
      </c>
      <c r="V59" s="40">
        <f>Selbstkosten!I59*$D$6</f>
        <v/>
      </c>
      <c r="W59" s="40">
        <f>Selbstkosten!J59*$D$6</f>
        <v/>
      </c>
      <c r="X59" s="40">
        <f>Selbstkosten!K59*$D$6</f>
        <v/>
      </c>
      <c r="Y59" s="40">
        <f>Selbstkosten!L59*$D$6</f>
        <v/>
      </c>
      <c r="Z59" s="40">
        <f>Selbstkosten!M59*$D$6</f>
        <v/>
      </c>
      <c r="AA59" s="40">
        <f>Selbstkosten!N59*$D$6</f>
        <v/>
      </c>
      <c r="AB59" s="40">
        <f>Selbstkosten!O59*$D$6</f>
        <v/>
      </c>
      <c r="AC59" s="28">
        <f>SUM(Q59:AB59)</f>
        <v/>
      </c>
      <c r="AD59" s="77">
        <f>P59+AC59</f>
        <v/>
      </c>
    </row>
    <row r="60">
      <c r="A60" s="71">
        <f>Stammdaten!A60</f>
        <v/>
      </c>
      <c r="B60" s="72">
        <f>Stammdaten!B60</f>
        <v/>
      </c>
      <c r="C60" s="72">
        <f>Stammdaten!C60</f>
        <v/>
      </c>
      <c r="D60" s="40">
        <f>Selbstkosten!D60*$D$5</f>
        <v/>
      </c>
      <c r="E60" s="40">
        <f>Selbstkosten!E60*$D$5</f>
        <v/>
      </c>
      <c r="F60" s="40">
        <f>Selbstkosten!F60*$D$5</f>
        <v/>
      </c>
      <c r="G60" s="40">
        <f>Selbstkosten!G60*$D$5</f>
        <v/>
      </c>
      <c r="H60" s="40">
        <f>Selbstkosten!H60*$D$5</f>
        <v/>
      </c>
      <c r="I60" s="40">
        <f>Selbstkosten!I60*$D$5</f>
        <v/>
      </c>
      <c r="J60" s="40">
        <f>Selbstkosten!J60*$D$5</f>
        <v/>
      </c>
      <c r="K60" s="40">
        <f>Selbstkosten!K60*$D$5</f>
        <v/>
      </c>
      <c r="L60" s="40">
        <f>Selbstkosten!L60*$D$5</f>
        <v/>
      </c>
      <c r="M60" s="40">
        <f>Selbstkosten!M60*$D$5</f>
        <v/>
      </c>
      <c r="N60" s="40">
        <f>Selbstkosten!N60*$D$5</f>
        <v/>
      </c>
      <c r="O60" s="40">
        <f>Selbstkosten!O60*$D$5</f>
        <v/>
      </c>
      <c r="P60" s="28">
        <f>SUM(D60:O60)</f>
        <v/>
      </c>
      <c r="Q60" s="40">
        <f>Selbstkosten!D60*$D$6</f>
        <v/>
      </c>
      <c r="R60" s="40">
        <f>Selbstkosten!E60*$D$6</f>
        <v/>
      </c>
      <c r="S60" s="40">
        <f>Selbstkosten!F60*$D$6</f>
        <v/>
      </c>
      <c r="T60" s="40">
        <f>Selbstkosten!G60*$D$6</f>
        <v/>
      </c>
      <c r="U60" s="40">
        <f>Selbstkosten!H60*$D$6</f>
        <v/>
      </c>
      <c r="V60" s="40">
        <f>Selbstkosten!I60*$D$6</f>
        <v/>
      </c>
      <c r="W60" s="40">
        <f>Selbstkosten!J60*$D$6</f>
        <v/>
      </c>
      <c r="X60" s="40">
        <f>Selbstkosten!K60*$D$6</f>
        <v/>
      </c>
      <c r="Y60" s="40">
        <f>Selbstkosten!L60*$D$6</f>
        <v/>
      </c>
      <c r="Z60" s="40">
        <f>Selbstkosten!M60*$D$6</f>
        <v/>
      </c>
      <c r="AA60" s="40">
        <f>Selbstkosten!N60*$D$6</f>
        <v/>
      </c>
      <c r="AB60" s="40">
        <f>Selbstkosten!O60*$D$6</f>
        <v/>
      </c>
      <c r="AC60" s="28">
        <f>SUM(Q60:AB60)</f>
        <v/>
      </c>
      <c r="AD60" s="77">
        <f>P60+AC60</f>
        <v/>
      </c>
    </row>
    <row r="61">
      <c r="A61" s="71">
        <f>Stammdaten!A61</f>
        <v/>
      </c>
      <c r="B61" s="72">
        <f>Stammdaten!B61</f>
        <v/>
      </c>
      <c r="C61" s="72">
        <f>Stammdaten!C61</f>
        <v/>
      </c>
      <c r="D61" s="40">
        <f>Selbstkosten!D61*$D$5</f>
        <v/>
      </c>
      <c r="E61" s="40">
        <f>Selbstkosten!E61*$D$5</f>
        <v/>
      </c>
      <c r="F61" s="40">
        <f>Selbstkosten!F61*$D$5</f>
        <v/>
      </c>
      <c r="G61" s="40">
        <f>Selbstkosten!G61*$D$5</f>
        <v/>
      </c>
      <c r="H61" s="40">
        <f>Selbstkosten!H61*$D$5</f>
        <v/>
      </c>
      <c r="I61" s="40">
        <f>Selbstkosten!I61*$D$5</f>
        <v/>
      </c>
      <c r="J61" s="40">
        <f>Selbstkosten!J61*$D$5</f>
        <v/>
      </c>
      <c r="K61" s="40">
        <f>Selbstkosten!K61*$D$5</f>
        <v/>
      </c>
      <c r="L61" s="40">
        <f>Selbstkosten!L61*$D$5</f>
        <v/>
      </c>
      <c r="M61" s="40">
        <f>Selbstkosten!M61*$D$5</f>
        <v/>
      </c>
      <c r="N61" s="40">
        <f>Selbstkosten!N61*$D$5</f>
        <v/>
      </c>
      <c r="O61" s="40">
        <f>Selbstkosten!O61*$D$5</f>
        <v/>
      </c>
      <c r="P61" s="28">
        <f>SUM(D61:O61)</f>
        <v/>
      </c>
      <c r="Q61" s="40">
        <f>Selbstkosten!D61*$D$6</f>
        <v/>
      </c>
      <c r="R61" s="40">
        <f>Selbstkosten!E61*$D$6</f>
        <v/>
      </c>
      <c r="S61" s="40">
        <f>Selbstkosten!F61*$D$6</f>
        <v/>
      </c>
      <c r="T61" s="40">
        <f>Selbstkosten!G61*$D$6</f>
        <v/>
      </c>
      <c r="U61" s="40">
        <f>Selbstkosten!H61*$D$6</f>
        <v/>
      </c>
      <c r="V61" s="40">
        <f>Selbstkosten!I61*$D$6</f>
        <v/>
      </c>
      <c r="W61" s="40">
        <f>Selbstkosten!J61*$D$6</f>
        <v/>
      </c>
      <c r="X61" s="40">
        <f>Selbstkosten!K61*$D$6</f>
        <v/>
      </c>
      <c r="Y61" s="40">
        <f>Selbstkosten!L61*$D$6</f>
        <v/>
      </c>
      <c r="Z61" s="40">
        <f>Selbstkosten!M61*$D$6</f>
        <v/>
      </c>
      <c r="AA61" s="40">
        <f>Selbstkosten!N61*$D$6</f>
        <v/>
      </c>
      <c r="AB61" s="40">
        <f>Selbstkosten!O61*$D$6</f>
        <v/>
      </c>
      <c r="AC61" s="28">
        <f>SUM(Q61:AB61)</f>
        <v/>
      </c>
      <c r="AD61" s="77">
        <f>P61+AC61</f>
        <v/>
      </c>
    </row>
    <row r="62">
      <c r="A62" s="71">
        <f>Stammdaten!A62</f>
        <v/>
      </c>
      <c r="B62" s="72">
        <f>Stammdaten!B62</f>
        <v/>
      </c>
      <c r="C62" s="72">
        <f>Stammdaten!C62</f>
        <v/>
      </c>
      <c r="D62" s="40">
        <f>Selbstkosten!D62*$D$5</f>
        <v/>
      </c>
      <c r="E62" s="40">
        <f>Selbstkosten!E62*$D$5</f>
        <v/>
      </c>
      <c r="F62" s="40">
        <f>Selbstkosten!F62*$D$5</f>
        <v/>
      </c>
      <c r="G62" s="40">
        <f>Selbstkosten!G62*$D$5</f>
        <v/>
      </c>
      <c r="H62" s="40">
        <f>Selbstkosten!H62*$D$5</f>
        <v/>
      </c>
      <c r="I62" s="40">
        <f>Selbstkosten!I62*$D$5</f>
        <v/>
      </c>
      <c r="J62" s="40">
        <f>Selbstkosten!J62*$D$5</f>
        <v/>
      </c>
      <c r="K62" s="40">
        <f>Selbstkosten!K62*$D$5</f>
        <v/>
      </c>
      <c r="L62" s="40">
        <f>Selbstkosten!L62*$D$5</f>
        <v/>
      </c>
      <c r="M62" s="40">
        <f>Selbstkosten!M62*$D$5</f>
        <v/>
      </c>
      <c r="N62" s="40">
        <f>Selbstkosten!N62*$D$5</f>
        <v/>
      </c>
      <c r="O62" s="40">
        <f>Selbstkosten!O62*$D$5</f>
        <v/>
      </c>
      <c r="P62" s="28">
        <f>SUM(D62:O62)</f>
        <v/>
      </c>
      <c r="Q62" s="40">
        <f>Selbstkosten!D62*$D$6</f>
        <v/>
      </c>
      <c r="R62" s="40">
        <f>Selbstkosten!E62*$D$6</f>
        <v/>
      </c>
      <c r="S62" s="40">
        <f>Selbstkosten!F62*$D$6</f>
        <v/>
      </c>
      <c r="T62" s="40">
        <f>Selbstkosten!G62*$D$6</f>
        <v/>
      </c>
      <c r="U62" s="40">
        <f>Selbstkosten!H62*$D$6</f>
        <v/>
      </c>
      <c r="V62" s="40">
        <f>Selbstkosten!I62*$D$6</f>
        <v/>
      </c>
      <c r="W62" s="40">
        <f>Selbstkosten!J62*$D$6</f>
        <v/>
      </c>
      <c r="X62" s="40">
        <f>Selbstkosten!K62*$D$6</f>
        <v/>
      </c>
      <c r="Y62" s="40">
        <f>Selbstkosten!L62*$D$6</f>
        <v/>
      </c>
      <c r="Z62" s="40">
        <f>Selbstkosten!M62*$D$6</f>
        <v/>
      </c>
      <c r="AA62" s="40">
        <f>Selbstkosten!N62*$D$6</f>
        <v/>
      </c>
      <c r="AB62" s="40">
        <f>Selbstkosten!O62*$D$6</f>
        <v/>
      </c>
      <c r="AC62" s="28">
        <f>SUM(Q62:AB62)</f>
        <v/>
      </c>
      <c r="AD62" s="77">
        <f>P62+AC62</f>
        <v/>
      </c>
    </row>
    <row r="63">
      <c r="A63" s="71">
        <f>Stammdaten!A63</f>
        <v/>
      </c>
      <c r="B63" s="72">
        <f>Stammdaten!B63</f>
        <v/>
      </c>
      <c r="C63" s="72">
        <f>Stammdaten!C63</f>
        <v/>
      </c>
      <c r="D63" s="40">
        <f>Selbstkosten!D63*$D$5</f>
        <v/>
      </c>
      <c r="E63" s="40">
        <f>Selbstkosten!E63*$D$5</f>
        <v/>
      </c>
      <c r="F63" s="40">
        <f>Selbstkosten!F63*$D$5</f>
        <v/>
      </c>
      <c r="G63" s="40">
        <f>Selbstkosten!G63*$D$5</f>
        <v/>
      </c>
      <c r="H63" s="40">
        <f>Selbstkosten!H63*$D$5</f>
        <v/>
      </c>
      <c r="I63" s="40">
        <f>Selbstkosten!I63*$D$5</f>
        <v/>
      </c>
      <c r="J63" s="40">
        <f>Selbstkosten!J63*$D$5</f>
        <v/>
      </c>
      <c r="K63" s="40">
        <f>Selbstkosten!K63*$D$5</f>
        <v/>
      </c>
      <c r="L63" s="40">
        <f>Selbstkosten!L63*$D$5</f>
        <v/>
      </c>
      <c r="M63" s="40">
        <f>Selbstkosten!M63*$D$5</f>
        <v/>
      </c>
      <c r="N63" s="40">
        <f>Selbstkosten!N63*$D$5</f>
        <v/>
      </c>
      <c r="O63" s="40">
        <f>Selbstkosten!O63*$D$5</f>
        <v/>
      </c>
      <c r="P63" s="28">
        <f>SUM(D63:O63)</f>
        <v/>
      </c>
      <c r="Q63" s="40">
        <f>Selbstkosten!D63*$D$6</f>
        <v/>
      </c>
      <c r="R63" s="40">
        <f>Selbstkosten!E63*$D$6</f>
        <v/>
      </c>
      <c r="S63" s="40">
        <f>Selbstkosten!F63*$D$6</f>
        <v/>
      </c>
      <c r="T63" s="40">
        <f>Selbstkosten!G63*$D$6</f>
        <v/>
      </c>
      <c r="U63" s="40">
        <f>Selbstkosten!H63*$D$6</f>
        <v/>
      </c>
      <c r="V63" s="40">
        <f>Selbstkosten!I63*$D$6</f>
        <v/>
      </c>
      <c r="W63" s="40">
        <f>Selbstkosten!J63*$D$6</f>
        <v/>
      </c>
      <c r="X63" s="40">
        <f>Selbstkosten!K63*$D$6</f>
        <v/>
      </c>
      <c r="Y63" s="40">
        <f>Selbstkosten!L63*$D$6</f>
        <v/>
      </c>
      <c r="Z63" s="40">
        <f>Selbstkosten!M63*$D$6</f>
        <v/>
      </c>
      <c r="AA63" s="40">
        <f>Selbstkosten!N63*$D$6</f>
        <v/>
      </c>
      <c r="AB63" s="40">
        <f>Selbstkosten!O63*$D$6</f>
        <v/>
      </c>
      <c r="AC63" s="28">
        <f>SUM(Q63:AB63)</f>
        <v/>
      </c>
      <c r="AD63" s="77">
        <f>P63+AC63</f>
        <v/>
      </c>
    </row>
    <row r="64">
      <c r="A64" s="71">
        <f>Stammdaten!A64</f>
        <v/>
      </c>
      <c r="B64" s="72">
        <f>Stammdaten!B64</f>
        <v/>
      </c>
      <c r="C64" s="72">
        <f>Stammdaten!C64</f>
        <v/>
      </c>
      <c r="D64" s="40">
        <f>Selbstkosten!D64*$D$5</f>
        <v/>
      </c>
      <c r="E64" s="40">
        <f>Selbstkosten!E64*$D$5</f>
        <v/>
      </c>
      <c r="F64" s="40">
        <f>Selbstkosten!F64*$D$5</f>
        <v/>
      </c>
      <c r="G64" s="40">
        <f>Selbstkosten!G64*$D$5</f>
        <v/>
      </c>
      <c r="H64" s="40">
        <f>Selbstkosten!H64*$D$5</f>
        <v/>
      </c>
      <c r="I64" s="40">
        <f>Selbstkosten!I64*$D$5</f>
        <v/>
      </c>
      <c r="J64" s="40">
        <f>Selbstkosten!J64*$D$5</f>
        <v/>
      </c>
      <c r="K64" s="40">
        <f>Selbstkosten!K64*$D$5</f>
        <v/>
      </c>
      <c r="L64" s="40">
        <f>Selbstkosten!L64*$D$5</f>
        <v/>
      </c>
      <c r="M64" s="40">
        <f>Selbstkosten!M64*$D$5</f>
        <v/>
      </c>
      <c r="N64" s="40">
        <f>Selbstkosten!N64*$D$5</f>
        <v/>
      </c>
      <c r="O64" s="40">
        <f>Selbstkosten!O64*$D$5</f>
        <v/>
      </c>
      <c r="P64" s="28">
        <f>SUM(D64:O64)</f>
        <v/>
      </c>
      <c r="Q64" s="40">
        <f>Selbstkosten!D64*$D$6</f>
        <v/>
      </c>
      <c r="R64" s="40">
        <f>Selbstkosten!E64*$D$6</f>
        <v/>
      </c>
      <c r="S64" s="40">
        <f>Selbstkosten!F64*$D$6</f>
        <v/>
      </c>
      <c r="T64" s="40">
        <f>Selbstkosten!G64*$D$6</f>
        <v/>
      </c>
      <c r="U64" s="40">
        <f>Selbstkosten!H64*$D$6</f>
        <v/>
      </c>
      <c r="V64" s="40">
        <f>Selbstkosten!I64*$D$6</f>
        <v/>
      </c>
      <c r="W64" s="40">
        <f>Selbstkosten!J64*$D$6</f>
        <v/>
      </c>
      <c r="X64" s="40">
        <f>Selbstkosten!K64*$D$6</f>
        <v/>
      </c>
      <c r="Y64" s="40">
        <f>Selbstkosten!L64*$D$6</f>
        <v/>
      </c>
      <c r="Z64" s="40">
        <f>Selbstkosten!M64*$D$6</f>
        <v/>
      </c>
      <c r="AA64" s="40">
        <f>Selbstkosten!N64*$D$6</f>
        <v/>
      </c>
      <c r="AB64" s="40">
        <f>Selbstkosten!O64*$D$6</f>
        <v/>
      </c>
      <c r="AC64" s="28">
        <f>SUM(Q64:AB64)</f>
        <v/>
      </c>
      <c r="AD64" s="77">
        <f>P64+AC64</f>
        <v/>
      </c>
    </row>
    <row r="65">
      <c r="A65" s="71">
        <f>Stammdaten!A65</f>
        <v/>
      </c>
      <c r="B65" s="72">
        <f>Stammdaten!B65</f>
        <v/>
      </c>
      <c r="C65" s="72">
        <f>Stammdaten!C65</f>
        <v/>
      </c>
      <c r="D65" s="40">
        <f>Selbstkosten!D65*$D$5</f>
        <v/>
      </c>
      <c r="E65" s="40">
        <f>Selbstkosten!E65*$D$5</f>
        <v/>
      </c>
      <c r="F65" s="40">
        <f>Selbstkosten!F65*$D$5</f>
        <v/>
      </c>
      <c r="G65" s="40">
        <f>Selbstkosten!G65*$D$5</f>
        <v/>
      </c>
      <c r="H65" s="40">
        <f>Selbstkosten!H65*$D$5</f>
        <v/>
      </c>
      <c r="I65" s="40">
        <f>Selbstkosten!I65*$D$5</f>
        <v/>
      </c>
      <c r="J65" s="40">
        <f>Selbstkosten!J65*$D$5</f>
        <v/>
      </c>
      <c r="K65" s="40">
        <f>Selbstkosten!K65*$D$5</f>
        <v/>
      </c>
      <c r="L65" s="40">
        <f>Selbstkosten!L65*$D$5</f>
        <v/>
      </c>
      <c r="M65" s="40">
        <f>Selbstkosten!M65*$D$5</f>
        <v/>
      </c>
      <c r="N65" s="40">
        <f>Selbstkosten!N65*$D$5</f>
        <v/>
      </c>
      <c r="O65" s="40">
        <f>Selbstkosten!O65*$D$5</f>
        <v/>
      </c>
      <c r="P65" s="28">
        <f>SUM(D65:O65)</f>
        <v/>
      </c>
      <c r="Q65" s="40">
        <f>Selbstkosten!D65*$D$6</f>
        <v/>
      </c>
      <c r="R65" s="40">
        <f>Selbstkosten!E65*$D$6</f>
        <v/>
      </c>
      <c r="S65" s="40">
        <f>Selbstkosten!F65*$D$6</f>
        <v/>
      </c>
      <c r="T65" s="40">
        <f>Selbstkosten!G65*$D$6</f>
        <v/>
      </c>
      <c r="U65" s="40">
        <f>Selbstkosten!H65*$D$6</f>
        <v/>
      </c>
      <c r="V65" s="40">
        <f>Selbstkosten!I65*$D$6</f>
        <v/>
      </c>
      <c r="W65" s="40">
        <f>Selbstkosten!J65*$D$6</f>
        <v/>
      </c>
      <c r="X65" s="40">
        <f>Selbstkosten!K65*$D$6</f>
        <v/>
      </c>
      <c r="Y65" s="40">
        <f>Selbstkosten!L65*$D$6</f>
        <v/>
      </c>
      <c r="Z65" s="40">
        <f>Selbstkosten!M65*$D$6</f>
        <v/>
      </c>
      <c r="AA65" s="40">
        <f>Selbstkosten!N65*$D$6</f>
        <v/>
      </c>
      <c r="AB65" s="40">
        <f>Selbstkosten!O65*$D$6</f>
        <v/>
      </c>
      <c r="AC65" s="28">
        <f>SUM(Q65:AB65)</f>
        <v/>
      </c>
      <c r="AD65" s="77">
        <f>P65+AC65</f>
        <v/>
      </c>
    </row>
    <row r="66">
      <c r="A66" s="71">
        <f>Stammdaten!A66</f>
        <v/>
      </c>
      <c r="B66" s="72">
        <f>Stammdaten!B66</f>
        <v/>
      </c>
      <c r="C66" s="72">
        <f>Stammdaten!C66</f>
        <v/>
      </c>
      <c r="D66" s="40">
        <f>Selbstkosten!D66*$D$5</f>
        <v/>
      </c>
      <c r="E66" s="40">
        <f>Selbstkosten!E66*$D$5</f>
        <v/>
      </c>
      <c r="F66" s="40">
        <f>Selbstkosten!F66*$D$5</f>
        <v/>
      </c>
      <c r="G66" s="40">
        <f>Selbstkosten!G66*$D$5</f>
        <v/>
      </c>
      <c r="H66" s="40">
        <f>Selbstkosten!H66*$D$5</f>
        <v/>
      </c>
      <c r="I66" s="40">
        <f>Selbstkosten!I66*$D$5</f>
        <v/>
      </c>
      <c r="J66" s="40">
        <f>Selbstkosten!J66*$D$5</f>
        <v/>
      </c>
      <c r="K66" s="40">
        <f>Selbstkosten!K66*$D$5</f>
        <v/>
      </c>
      <c r="L66" s="40">
        <f>Selbstkosten!L66*$D$5</f>
        <v/>
      </c>
      <c r="M66" s="40">
        <f>Selbstkosten!M66*$D$5</f>
        <v/>
      </c>
      <c r="N66" s="40">
        <f>Selbstkosten!N66*$D$5</f>
        <v/>
      </c>
      <c r="O66" s="40">
        <f>Selbstkosten!O66*$D$5</f>
        <v/>
      </c>
      <c r="P66" s="28">
        <f>SUM(D66:O66)</f>
        <v/>
      </c>
      <c r="Q66" s="40">
        <f>Selbstkosten!D66*$D$6</f>
        <v/>
      </c>
      <c r="R66" s="40">
        <f>Selbstkosten!E66*$D$6</f>
        <v/>
      </c>
      <c r="S66" s="40">
        <f>Selbstkosten!F66*$D$6</f>
        <v/>
      </c>
      <c r="T66" s="40">
        <f>Selbstkosten!G66*$D$6</f>
        <v/>
      </c>
      <c r="U66" s="40">
        <f>Selbstkosten!H66*$D$6</f>
        <v/>
      </c>
      <c r="V66" s="40">
        <f>Selbstkosten!I66*$D$6</f>
        <v/>
      </c>
      <c r="W66" s="40">
        <f>Selbstkosten!J66*$D$6</f>
        <v/>
      </c>
      <c r="X66" s="40">
        <f>Selbstkosten!K66*$D$6</f>
        <v/>
      </c>
      <c r="Y66" s="40">
        <f>Selbstkosten!L66*$D$6</f>
        <v/>
      </c>
      <c r="Z66" s="40">
        <f>Selbstkosten!M66*$D$6</f>
        <v/>
      </c>
      <c r="AA66" s="40">
        <f>Selbstkosten!N66*$D$6</f>
        <v/>
      </c>
      <c r="AB66" s="40">
        <f>Selbstkosten!O66*$D$6</f>
        <v/>
      </c>
      <c r="AC66" s="28">
        <f>SUM(Q66:AB66)</f>
        <v/>
      </c>
      <c r="AD66" s="77">
        <f>P66+AC66</f>
        <v/>
      </c>
    </row>
    <row r="67">
      <c r="A67" s="71">
        <f>Stammdaten!A67</f>
        <v/>
      </c>
      <c r="B67" s="72">
        <f>Stammdaten!B67</f>
        <v/>
      </c>
      <c r="C67" s="72">
        <f>Stammdaten!C67</f>
        <v/>
      </c>
      <c r="D67" s="40">
        <f>Selbstkosten!D67*$D$5</f>
        <v/>
      </c>
      <c r="E67" s="40">
        <f>Selbstkosten!E67*$D$5</f>
        <v/>
      </c>
      <c r="F67" s="40">
        <f>Selbstkosten!F67*$D$5</f>
        <v/>
      </c>
      <c r="G67" s="40">
        <f>Selbstkosten!G67*$D$5</f>
        <v/>
      </c>
      <c r="H67" s="40">
        <f>Selbstkosten!H67*$D$5</f>
        <v/>
      </c>
      <c r="I67" s="40">
        <f>Selbstkosten!I67*$D$5</f>
        <v/>
      </c>
      <c r="J67" s="40">
        <f>Selbstkosten!J67*$D$5</f>
        <v/>
      </c>
      <c r="K67" s="40">
        <f>Selbstkosten!K67*$D$5</f>
        <v/>
      </c>
      <c r="L67" s="40">
        <f>Selbstkosten!L67*$D$5</f>
        <v/>
      </c>
      <c r="M67" s="40">
        <f>Selbstkosten!M67*$D$5</f>
        <v/>
      </c>
      <c r="N67" s="40">
        <f>Selbstkosten!N67*$D$5</f>
        <v/>
      </c>
      <c r="O67" s="40">
        <f>Selbstkosten!O67*$D$5</f>
        <v/>
      </c>
      <c r="P67" s="28">
        <f>SUM(D67:O67)</f>
        <v/>
      </c>
      <c r="Q67" s="40">
        <f>Selbstkosten!D67*$D$6</f>
        <v/>
      </c>
      <c r="R67" s="40">
        <f>Selbstkosten!E67*$D$6</f>
        <v/>
      </c>
      <c r="S67" s="40">
        <f>Selbstkosten!F67*$D$6</f>
        <v/>
      </c>
      <c r="T67" s="40">
        <f>Selbstkosten!G67*$D$6</f>
        <v/>
      </c>
      <c r="U67" s="40">
        <f>Selbstkosten!H67*$D$6</f>
        <v/>
      </c>
      <c r="V67" s="40">
        <f>Selbstkosten!I67*$D$6</f>
        <v/>
      </c>
      <c r="W67" s="40">
        <f>Selbstkosten!J67*$D$6</f>
        <v/>
      </c>
      <c r="X67" s="40">
        <f>Selbstkosten!K67*$D$6</f>
        <v/>
      </c>
      <c r="Y67" s="40">
        <f>Selbstkosten!L67*$D$6</f>
        <v/>
      </c>
      <c r="Z67" s="40">
        <f>Selbstkosten!M67*$D$6</f>
        <v/>
      </c>
      <c r="AA67" s="40">
        <f>Selbstkosten!N67*$D$6</f>
        <v/>
      </c>
      <c r="AB67" s="40">
        <f>Selbstkosten!O67*$D$6</f>
        <v/>
      </c>
      <c r="AC67" s="28">
        <f>SUM(Q67:AB67)</f>
        <v/>
      </c>
      <c r="AD67" s="77">
        <f>P67+AC67</f>
        <v/>
      </c>
    </row>
    <row r="68">
      <c r="A68" s="71">
        <f>Stammdaten!A68</f>
        <v/>
      </c>
      <c r="B68" s="72">
        <f>Stammdaten!B68</f>
        <v/>
      </c>
      <c r="C68" s="72">
        <f>Stammdaten!C68</f>
        <v/>
      </c>
      <c r="D68" s="40">
        <f>Selbstkosten!D68*$D$5</f>
        <v/>
      </c>
      <c r="E68" s="40">
        <f>Selbstkosten!E68*$D$5</f>
        <v/>
      </c>
      <c r="F68" s="40">
        <f>Selbstkosten!F68*$D$5</f>
        <v/>
      </c>
      <c r="G68" s="40">
        <f>Selbstkosten!G68*$D$5</f>
        <v/>
      </c>
      <c r="H68" s="40">
        <f>Selbstkosten!H68*$D$5</f>
        <v/>
      </c>
      <c r="I68" s="40">
        <f>Selbstkosten!I68*$D$5</f>
        <v/>
      </c>
      <c r="J68" s="40">
        <f>Selbstkosten!J68*$D$5</f>
        <v/>
      </c>
      <c r="K68" s="40">
        <f>Selbstkosten!K68*$D$5</f>
        <v/>
      </c>
      <c r="L68" s="40">
        <f>Selbstkosten!L68*$D$5</f>
        <v/>
      </c>
      <c r="M68" s="40">
        <f>Selbstkosten!M68*$D$5</f>
        <v/>
      </c>
      <c r="N68" s="40">
        <f>Selbstkosten!N68*$D$5</f>
        <v/>
      </c>
      <c r="O68" s="40">
        <f>Selbstkosten!O68*$D$5</f>
        <v/>
      </c>
      <c r="P68" s="28">
        <f>SUM(D68:O68)</f>
        <v/>
      </c>
      <c r="Q68" s="40">
        <f>Selbstkosten!D68*$D$6</f>
        <v/>
      </c>
      <c r="R68" s="40">
        <f>Selbstkosten!E68*$D$6</f>
        <v/>
      </c>
      <c r="S68" s="40">
        <f>Selbstkosten!F68*$D$6</f>
        <v/>
      </c>
      <c r="T68" s="40">
        <f>Selbstkosten!G68*$D$6</f>
        <v/>
      </c>
      <c r="U68" s="40">
        <f>Selbstkosten!H68*$D$6</f>
        <v/>
      </c>
      <c r="V68" s="40">
        <f>Selbstkosten!I68*$D$6</f>
        <v/>
      </c>
      <c r="W68" s="40">
        <f>Selbstkosten!J68*$D$6</f>
        <v/>
      </c>
      <c r="X68" s="40">
        <f>Selbstkosten!K68*$D$6</f>
        <v/>
      </c>
      <c r="Y68" s="40">
        <f>Selbstkosten!L68*$D$6</f>
        <v/>
      </c>
      <c r="Z68" s="40">
        <f>Selbstkosten!M68*$D$6</f>
        <v/>
      </c>
      <c r="AA68" s="40">
        <f>Selbstkosten!N68*$D$6</f>
        <v/>
      </c>
      <c r="AB68" s="40">
        <f>Selbstkosten!O68*$D$6</f>
        <v/>
      </c>
      <c r="AC68" s="28">
        <f>SUM(Q68:AB68)</f>
        <v/>
      </c>
      <c r="AD68" s="77">
        <f>P68+AC68</f>
        <v/>
      </c>
    </row>
    <row r="69">
      <c r="A69" s="68">
        <f>Stammdaten!A69</f>
        <v/>
      </c>
      <c r="B69" s="69">
        <f>Stammdaten!B69</f>
        <v/>
      </c>
      <c r="C69" s="69">
        <f>Stammdaten!C69</f>
        <v/>
      </c>
      <c r="D69" s="40">
        <f>Selbstkosten!D69*$D$5</f>
        <v/>
      </c>
      <c r="E69" s="40">
        <f>Selbstkosten!E69*$D$5</f>
        <v/>
      </c>
      <c r="F69" s="40">
        <f>Selbstkosten!F69*$D$5</f>
        <v/>
      </c>
      <c r="G69" s="40">
        <f>Selbstkosten!G69*$D$5</f>
        <v/>
      </c>
      <c r="H69" s="40">
        <f>Selbstkosten!H69*$D$5</f>
        <v/>
      </c>
      <c r="I69" s="40">
        <f>Selbstkosten!I69*$D$5</f>
        <v/>
      </c>
      <c r="J69" s="40">
        <f>Selbstkosten!J69*$D$5</f>
        <v/>
      </c>
      <c r="K69" s="40">
        <f>Selbstkosten!K69*$D$5</f>
        <v/>
      </c>
      <c r="L69" s="40">
        <f>Selbstkosten!L69*$D$5</f>
        <v/>
      </c>
      <c r="M69" s="40">
        <f>Selbstkosten!M69*$D$5</f>
        <v/>
      </c>
      <c r="N69" s="40">
        <f>Selbstkosten!N69*$D$5</f>
        <v/>
      </c>
      <c r="O69" s="40">
        <f>Selbstkosten!O69*$D$5</f>
        <v/>
      </c>
      <c r="P69" s="28">
        <f>SUM(D69:O69)</f>
        <v/>
      </c>
      <c r="Q69" s="40">
        <f>Selbstkosten!D69*$D$6</f>
        <v/>
      </c>
      <c r="R69" s="40">
        <f>Selbstkosten!E69*$D$6</f>
        <v/>
      </c>
      <c r="S69" s="40">
        <f>Selbstkosten!F69*$D$6</f>
        <v/>
      </c>
      <c r="T69" s="40">
        <f>Selbstkosten!G69*$D$6</f>
        <v/>
      </c>
      <c r="U69" s="40">
        <f>Selbstkosten!H69*$D$6</f>
        <v/>
      </c>
      <c r="V69" s="40">
        <f>Selbstkosten!I69*$D$6</f>
        <v/>
      </c>
      <c r="W69" s="40">
        <f>Selbstkosten!J69*$D$6</f>
        <v/>
      </c>
      <c r="X69" s="40">
        <f>Selbstkosten!K69*$D$6</f>
        <v/>
      </c>
      <c r="Y69" s="40">
        <f>Selbstkosten!L69*$D$6</f>
        <v/>
      </c>
      <c r="Z69" s="40">
        <f>Selbstkosten!M69*$D$6</f>
        <v/>
      </c>
      <c r="AA69" s="40">
        <f>Selbstkosten!N69*$D$6</f>
        <v/>
      </c>
      <c r="AB69" s="40">
        <f>Selbstkosten!O69*$D$6</f>
        <v/>
      </c>
      <c r="AC69" s="28">
        <f>SUM(Q69:AB69)</f>
        <v/>
      </c>
      <c r="AD69" s="77">
        <f>P69+AC69</f>
        <v/>
      </c>
    </row>
    <row r="70">
      <c r="A70" s="68">
        <f>Stammdaten!A70</f>
        <v/>
      </c>
      <c r="B70" s="69">
        <f>Stammdaten!B70</f>
        <v/>
      </c>
      <c r="C70" s="69">
        <f>Stammdaten!C70</f>
        <v/>
      </c>
      <c r="D70" s="40">
        <f>Selbstkosten!D70*$D$5</f>
        <v/>
      </c>
      <c r="E70" s="40">
        <f>Selbstkosten!E70*$D$5</f>
        <v/>
      </c>
      <c r="F70" s="40">
        <f>Selbstkosten!F70*$D$5</f>
        <v/>
      </c>
      <c r="G70" s="40">
        <f>Selbstkosten!G70*$D$5</f>
        <v/>
      </c>
      <c r="H70" s="40">
        <f>Selbstkosten!H70*$D$5</f>
        <v/>
      </c>
      <c r="I70" s="40">
        <f>Selbstkosten!I70*$D$5</f>
        <v/>
      </c>
      <c r="J70" s="40">
        <f>Selbstkosten!J70*$D$5</f>
        <v/>
      </c>
      <c r="K70" s="40">
        <f>Selbstkosten!K70*$D$5</f>
        <v/>
      </c>
      <c r="L70" s="40">
        <f>Selbstkosten!L70*$D$5</f>
        <v/>
      </c>
      <c r="M70" s="40">
        <f>Selbstkosten!M70*$D$5</f>
        <v/>
      </c>
      <c r="N70" s="40">
        <f>Selbstkosten!N70*$D$5</f>
        <v/>
      </c>
      <c r="O70" s="40">
        <f>Selbstkosten!O70*$D$5</f>
        <v/>
      </c>
      <c r="P70" s="28">
        <f>SUM(D70:O70)</f>
        <v/>
      </c>
      <c r="Q70" s="40">
        <f>Selbstkosten!D70*$D$6</f>
        <v/>
      </c>
      <c r="R70" s="40">
        <f>Selbstkosten!E70*$D$6</f>
        <v/>
      </c>
      <c r="S70" s="40">
        <f>Selbstkosten!F70*$D$6</f>
        <v/>
      </c>
      <c r="T70" s="40">
        <f>Selbstkosten!G70*$D$6</f>
        <v/>
      </c>
      <c r="U70" s="40">
        <f>Selbstkosten!H70*$D$6</f>
        <v/>
      </c>
      <c r="V70" s="40">
        <f>Selbstkosten!I70*$D$6</f>
        <v/>
      </c>
      <c r="W70" s="40">
        <f>Selbstkosten!J70*$D$6</f>
        <v/>
      </c>
      <c r="X70" s="40">
        <f>Selbstkosten!K70*$D$6</f>
        <v/>
      </c>
      <c r="Y70" s="40">
        <f>Selbstkosten!L70*$D$6</f>
        <v/>
      </c>
      <c r="Z70" s="40">
        <f>Selbstkosten!M70*$D$6</f>
        <v/>
      </c>
      <c r="AA70" s="40">
        <f>Selbstkosten!N70*$D$6</f>
        <v/>
      </c>
      <c r="AB70" s="40">
        <f>Selbstkosten!O70*$D$6</f>
        <v/>
      </c>
      <c r="AC70" s="28">
        <f>SUM(Q70:AB70)</f>
        <v/>
      </c>
      <c r="AD70" s="77">
        <f>P70+AC70</f>
        <v/>
      </c>
    </row>
    <row r="71">
      <c r="A71" s="68">
        <f>Stammdaten!A71</f>
        <v/>
      </c>
      <c r="B71" s="69">
        <f>Stammdaten!B71</f>
        <v/>
      </c>
      <c r="C71" s="69">
        <f>Stammdaten!C71</f>
        <v/>
      </c>
      <c r="D71" s="40">
        <f>Selbstkosten!D71*$D$5</f>
        <v/>
      </c>
      <c r="E71" s="40">
        <f>Selbstkosten!E71*$D$5</f>
        <v/>
      </c>
      <c r="F71" s="40">
        <f>Selbstkosten!F71*$D$5</f>
        <v/>
      </c>
      <c r="G71" s="40">
        <f>Selbstkosten!G71*$D$5</f>
        <v/>
      </c>
      <c r="H71" s="40">
        <f>Selbstkosten!H71*$D$5</f>
        <v/>
      </c>
      <c r="I71" s="40">
        <f>Selbstkosten!I71*$D$5</f>
        <v/>
      </c>
      <c r="J71" s="40">
        <f>Selbstkosten!J71*$D$5</f>
        <v/>
      </c>
      <c r="K71" s="40">
        <f>Selbstkosten!K71*$D$5</f>
        <v/>
      </c>
      <c r="L71" s="40">
        <f>Selbstkosten!L71*$D$5</f>
        <v/>
      </c>
      <c r="M71" s="40">
        <f>Selbstkosten!M71*$D$5</f>
        <v/>
      </c>
      <c r="N71" s="40">
        <f>Selbstkosten!N71*$D$5</f>
        <v/>
      </c>
      <c r="O71" s="40">
        <f>Selbstkosten!O71*$D$5</f>
        <v/>
      </c>
      <c r="P71" s="28">
        <f>SUM(D71:O71)</f>
        <v/>
      </c>
      <c r="Q71" s="40">
        <f>Selbstkosten!D71*$D$6</f>
        <v/>
      </c>
      <c r="R71" s="40">
        <f>Selbstkosten!E71*$D$6</f>
        <v/>
      </c>
      <c r="S71" s="40">
        <f>Selbstkosten!F71*$D$6</f>
        <v/>
      </c>
      <c r="T71" s="40">
        <f>Selbstkosten!G71*$D$6</f>
        <v/>
      </c>
      <c r="U71" s="40">
        <f>Selbstkosten!H71*$D$6</f>
        <v/>
      </c>
      <c r="V71" s="40">
        <f>Selbstkosten!I71*$D$6</f>
        <v/>
      </c>
      <c r="W71" s="40">
        <f>Selbstkosten!J71*$D$6</f>
        <v/>
      </c>
      <c r="X71" s="40">
        <f>Selbstkosten!K71*$D$6</f>
        <v/>
      </c>
      <c r="Y71" s="40">
        <f>Selbstkosten!L71*$D$6</f>
        <v/>
      </c>
      <c r="Z71" s="40">
        <f>Selbstkosten!M71*$D$6</f>
        <v/>
      </c>
      <c r="AA71" s="40">
        <f>Selbstkosten!N71*$D$6</f>
        <v/>
      </c>
      <c r="AB71" s="40">
        <f>Selbstkosten!O71*$D$6</f>
        <v/>
      </c>
      <c r="AC71" s="28">
        <f>SUM(Q71:AB71)</f>
        <v/>
      </c>
      <c r="AD71" s="77">
        <f>P71+AC71</f>
        <v/>
      </c>
    </row>
    <row r="72">
      <c r="A72" s="68">
        <f>Stammdaten!A72</f>
        <v/>
      </c>
      <c r="B72" s="69">
        <f>Stammdaten!B72</f>
        <v/>
      </c>
      <c r="C72" s="69">
        <f>Stammdaten!C72</f>
        <v/>
      </c>
      <c r="D72" s="40">
        <f>Selbstkosten!D72*$D$5</f>
        <v/>
      </c>
      <c r="E72" s="40">
        <f>Selbstkosten!E72*$D$5</f>
        <v/>
      </c>
      <c r="F72" s="40">
        <f>Selbstkosten!F72*$D$5</f>
        <v/>
      </c>
      <c r="G72" s="40">
        <f>Selbstkosten!G72*$D$5</f>
        <v/>
      </c>
      <c r="H72" s="40">
        <f>Selbstkosten!H72*$D$5</f>
        <v/>
      </c>
      <c r="I72" s="40">
        <f>Selbstkosten!I72*$D$5</f>
        <v/>
      </c>
      <c r="J72" s="40">
        <f>Selbstkosten!J72*$D$5</f>
        <v/>
      </c>
      <c r="K72" s="40">
        <f>Selbstkosten!K72*$D$5</f>
        <v/>
      </c>
      <c r="L72" s="40">
        <f>Selbstkosten!L72*$D$5</f>
        <v/>
      </c>
      <c r="M72" s="40">
        <f>Selbstkosten!M72*$D$5</f>
        <v/>
      </c>
      <c r="N72" s="40">
        <f>Selbstkosten!N72*$D$5</f>
        <v/>
      </c>
      <c r="O72" s="40">
        <f>Selbstkosten!O72*$D$5</f>
        <v/>
      </c>
      <c r="P72" s="28">
        <f>SUM(D72:O72)</f>
        <v/>
      </c>
      <c r="Q72" s="40">
        <f>Selbstkosten!D72*$D$6</f>
        <v/>
      </c>
      <c r="R72" s="40">
        <f>Selbstkosten!E72*$D$6</f>
        <v/>
      </c>
      <c r="S72" s="40">
        <f>Selbstkosten!F72*$D$6</f>
        <v/>
      </c>
      <c r="T72" s="40">
        <f>Selbstkosten!G72*$D$6</f>
        <v/>
      </c>
      <c r="U72" s="40">
        <f>Selbstkosten!H72*$D$6</f>
        <v/>
      </c>
      <c r="V72" s="40">
        <f>Selbstkosten!I72*$D$6</f>
        <v/>
      </c>
      <c r="W72" s="40">
        <f>Selbstkosten!J72*$D$6</f>
        <v/>
      </c>
      <c r="X72" s="40">
        <f>Selbstkosten!K72*$D$6</f>
        <v/>
      </c>
      <c r="Y72" s="40">
        <f>Selbstkosten!L72*$D$6</f>
        <v/>
      </c>
      <c r="Z72" s="40">
        <f>Selbstkosten!M72*$D$6</f>
        <v/>
      </c>
      <c r="AA72" s="40">
        <f>Selbstkosten!N72*$D$6</f>
        <v/>
      </c>
      <c r="AB72" s="40">
        <f>Selbstkosten!O72*$D$6</f>
        <v/>
      </c>
      <c r="AC72" s="28">
        <f>SUM(Q72:AB72)</f>
        <v/>
      </c>
      <c r="AD72" s="77">
        <f>P72+AC72</f>
        <v/>
      </c>
    </row>
    <row r="73">
      <c r="A73" s="68">
        <f>Stammdaten!A73</f>
        <v/>
      </c>
      <c r="B73" s="69">
        <f>Stammdaten!B73</f>
        <v/>
      </c>
      <c r="C73" s="69">
        <f>Stammdaten!C73</f>
        <v/>
      </c>
      <c r="D73" s="40">
        <f>Selbstkosten!D73*$D$5</f>
        <v/>
      </c>
      <c r="E73" s="40">
        <f>Selbstkosten!E73*$D$5</f>
        <v/>
      </c>
      <c r="F73" s="40">
        <f>Selbstkosten!F73*$D$5</f>
        <v/>
      </c>
      <c r="G73" s="40">
        <f>Selbstkosten!G73*$D$5</f>
        <v/>
      </c>
      <c r="H73" s="40">
        <f>Selbstkosten!H73*$D$5</f>
        <v/>
      </c>
      <c r="I73" s="40">
        <f>Selbstkosten!I73*$D$5</f>
        <v/>
      </c>
      <c r="J73" s="40">
        <f>Selbstkosten!J73*$D$5</f>
        <v/>
      </c>
      <c r="K73" s="40">
        <f>Selbstkosten!K73*$D$5</f>
        <v/>
      </c>
      <c r="L73" s="40">
        <f>Selbstkosten!L73*$D$5</f>
        <v/>
      </c>
      <c r="M73" s="40">
        <f>Selbstkosten!M73*$D$5</f>
        <v/>
      </c>
      <c r="N73" s="40">
        <f>Selbstkosten!N73*$D$5</f>
        <v/>
      </c>
      <c r="O73" s="40">
        <f>Selbstkosten!O73*$D$5</f>
        <v/>
      </c>
      <c r="P73" s="28">
        <f>SUM(D73:O73)</f>
        <v/>
      </c>
      <c r="Q73" s="40">
        <f>Selbstkosten!D73*$D$6</f>
        <v/>
      </c>
      <c r="R73" s="40">
        <f>Selbstkosten!E73*$D$6</f>
        <v/>
      </c>
      <c r="S73" s="40">
        <f>Selbstkosten!F73*$D$6</f>
        <v/>
      </c>
      <c r="T73" s="40">
        <f>Selbstkosten!G73*$D$6</f>
        <v/>
      </c>
      <c r="U73" s="40">
        <f>Selbstkosten!H73*$D$6</f>
        <v/>
      </c>
      <c r="V73" s="40">
        <f>Selbstkosten!I73*$D$6</f>
        <v/>
      </c>
      <c r="W73" s="40">
        <f>Selbstkosten!J73*$D$6</f>
        <v/>
      </c>
      <c r="X73" s="40">
        <f>Selbstkosten!K73*$D$6</f>
        <v/>
      </c>
      <c r="Y73" s="40">
        <f>Selbstkosten!L73*$D$6</f>
        <v/>
      </c>
      <c r="Z73" s="40">
        <f>Selbstkosten!M73*$D$6</f>
        <v/>
      </c>
      <c r="AA73" s="40">
        <f>Selbstkosten!N73*$D$6</f>
        <v/>
      </c>
      <c r="AB73" s="40">
        <f>Selbstkosten!O73*$D$6</f>
        <v/>
      </c>
      <c r="AC73" s="28">
        <f>SUM(Q73:AB73)</f>
        <v/>
      </c>
      <c r="AD73" s="77">
        <f>P73+AC73</f>
        <v/>
      </c>
    </row>
    <row r="74">
      <c r="A74" s="68">
        <f>Stammdaten!A74</f>
        <v/>
      </c>
      <c r="B74" s="69">
        <f>Stammdaten!B74</f>
        <v/>
      </c>
      <c r="C74" s="69">
        <f>Stammdaten!C74</f>
        <v/>
      </c>
      <c r="D74" s="40">
        <f>Selbstkosten!D74*$D$5</f>
        <v/>
      </c>
      <c r="E74" s="40">
        <f>Selbstkosten!E74*$D$5</f>
        <v/>
      </c>
      <c r="F74" s="40">
        <f>Selbstkosten!F74*$D$5</f>
        <v/>
      </c>
      <c r="G74" s="40">
        <f>Selbstkosten!G74*$D$5</f>
        <v/>
      </c>
      <c r="H74" s="40">
        <f>Selbstkosten!H74*$D$5</f>
        <v/>
      </c>
      <c r="I74" s="40">
        <f>Selbstkosten!I74*$D$5</f>
        <v/>
      </c>
      <c r="J74" s="40">
        <f>Selbstkosten!J74*$D$5</f>
        <v/>
      </c>
      <c r="K74" s="40">
        <f>Selbstkosten!K74*$D$5</f>
        <v/>
      </c>
      <c r="L74" s="40">
        <f>Selbstkosten!L74*$D$5</f>
        <v/>
      </c>
      <c r="M74" s="40">
        <f>Selbstkosten!M74*$D$5</f>
        <v/>
      </c>
      <c r="N74" s="40">
        <f>Selbstkosten!N74*$D$5</f>
        <v/>
      </c>
      <c r="O74" s="40">
        <f>Selbstkosten!O74*$D$5</f>
        <v/>
      </c>
      <c r="P74" s="28">
        <f>SUM(D74:O74)</f>
        <v/>
      </c>
      <c r="Q74" s="40">
        <f>Selbstkosten!D74*$D$6</f>
        <v/>
      </c>
      <c r="R74" s="40">
        <f>Selbstkosten!E74*$D$6</f>
        <v/>
      </c>
      <c r="S74" s="40">
        <f>Selbstkosten!F74*$D$6</f>
        <v/>
      </c>
      <c r="T74" s="40">
        <f>Selbstkosten!G74*$D$6</f>
        <v/>
      </c>
      <c r="U74" s="40">
        <f>Selbstkosten!H74*$D$6</f>
        <v/>
      </c>
      <c r="V74" s="40">
        <f>Selbstkosten!I74*$D$6</f>
        <v/>
      </c>
      <c r="W74" s="40">
        <f>Selbstkosten!J74*$D$6</f>
        <v/>
      </c>
      <c r="X74" s="40">
        <f>Selbstkosten!K74*$D$6</f>
        <v/>
      </c>
      <c r="Y74" s="40">
        <f>Selbstkosten!L74*$D$6</f>
        <v/>
      </c>
      <c r="Z74" s="40">
        <f>Selbstkosten!M74*$D$6</f>
        <v/>
      </c>
      <c r="AA74" s="40">
        <f>Selbstkosten!N74*$D$6</f>
        <v/>
      </c>
      <c r="AB74" s="40">
        <f>Selbstkosten!O74*$D$6</f>
        <v/>
      </c>
      <c r="AC74" s="28">
        <f>SUM(Q74:AB74)</f>
        <v/>
      </c>
      <c r="AD74" s="77">
        <f>P74+AC74</f>
        <v/>
      </c>
    </row>
    <row r="75">
      <c r="A75" s="68">
        <f>Stammdaten!A75</f>
        <v/>
      </c>
      <c r="B75" s="69">
        <f>Stammdaten!B75</f>
        <v/>
      </c>
      <c r="C75" s="69">
        <f>Stammdaten!C75</f>
        <v/>
      </c>
      <c r="D75" s="40">
        <f>Selbstkosten!D75*$D$5</f>
        <v/>
      </c>
      <c r="E75" s="40">
        <f>Selbstkosten!E75*$D$5</f>
        <v/>
      </c>
      <c r="F75" s="40">
        <f>Selbstkosten!F75*$D$5</f>
        <v/>
      </c>
      <c r="G75" s="40">
        <f>Selbstkosten!G75*$D$5</f>
        <v/>
      </c>
      <c r="H75" s="40">
        <f>Selbstkosten!H75*$D$5</f>
        <v/>
      </c>
      <c r="I75" s="40">
        <f>Selbstkosten!I75*$D$5</f>
        <v/>
      </c>
      <c r="J75" s="40">
        <f>Selbstkosten!J75*$D$5</f>
        <v/>
      </c>
      <c r="K75" s="40">
        <f>Selbstkosten!K75*$D$5</f>
        <v/>
      </c>
      <c r="L75" s="40">
        <f>Selbstkosten!L75*$D$5</f>
        <v/>
      </c>
      <c r="M75" s="40">
        <f>Selbstkosten!M75*$D$5</f>
        <v/>
      </c>
      <c r="N75" s="40">
        <f>Selbstkosten!N75*$D$5</f>
        <v/>
      </c>
      <c r="O75" s="40">
        <f>Selbstkosten!O75*$D$5</f>
        <v/>
      </c>
      <c r="P75" s="28">
        <f>SUM(D75:O75)</f>
        <v/>
      </c>
      <c r="Q75" s="40">
        <f>Selbstkosten!D75*$D$6</f>
        <v/>
      </c>
      <c r="R75" s="40">
        <f>Selbstkosten!E75*$D$6</f>
        <v/>
      </c>
      <c r="S75" s="40">
        <f>Selbstkosten!F75*$D$6</f>
        <v/>
      </c>
      <c r="T75" s="40">
        <f>Selbstkosten!G75*$D$6</f>
        <v/>
      </c>
      <c r="U75" s="40">
        <f>Selbstkosten!H75*$D$6</f>
        <v/>
      </c>
      <c r="V75" s="40">
        <f>Selbstkosten!I75*$D$6</f>
        <v/>
      </c>
      <c r="W75" s="40">
        <f>Selbstkosten!J75*$D$6</f>
        <v/>
      </c>
      <c r="X75" s="40">
        <f>Selbstkosten!K75*$D$6</f>
        <v/>
      </c>
      <c r="Y75" s="40">
        <f>Selbstkosten!L75*$D$6</f>
        <v/>
      </c>
      <c r="Z75" s="40">
        <f>Selbstkosten!M75*$D$6</f>
        <v/>
      </c>
      <c r="AA75" s="40">
        <f>Selbstkosten!N75*$D$6</f>
        <v/>
      </c>
      <c r="AB75" s="40">
        <f>Selbstkosten!O75*$D$6</f>
        <v/>
      </c>
      <c r="AC75" s="28">
        <f>SUM(Q75:AB75)</f>
        <v/>
      </c>
      <c r="AD75" s="77">
        <f>P75+AC75</f>
        <v/>
      </c>
    </row>
    <row r="76">
      <c r="A76" s="68">
        <f>Stammdaten!A76</f>
        <v/>
      </c>
      <c r="B76" s="69">
        <f>Stammdaten!B76</f>
        <v/>
      </c>
      <c r="C76" s="69">
        <f>Stammdaten!C76</f>
        <v/>
      </c>
      <c r="D76" s="40">
        <f>Selbstkosten!D76*$D$5</f>
        <v/>
      </c>
      <c r="E76" s="40">
        <f>Selbstkosten!E76*$D$5</f>
        <v/>
      </c>
      <c r="F76" s="40">
        <f>Selbstkosten!F76*$D$5</f>
        <v/>
      </c>
      <c r="G76" s="40">
        <f>Selbstkosten!G76*$D$5</f>
        <v/>
      </c>
      <c r="H76" s="40">
        <f>Selbstkosten!H76*$D$5</f>
        <v/>
      </c>
      <c r="I76" s="40">
        <f>Selbstkosten!I76*$D$5</f>
        <v/>
      </c>
      <c r="J76" s="40">
        <f>Selbstkosten!J76*$D$5</f>
        <v/>
      </c>
      <c r="K76" s="40">
        <f>Selbstkosten!K76*$D$5</f>
        <v/>
      </c>
      <c r="L76" s="40">
        <f>Selbstkosten!L76*$D$5</f>
        <v/>
      </c>
      <c r="M76" s="40">
        <f>Selbstkosten!M76*$D$5</f>
        <v/>
      </c>
      <c r="N76" s="40">
        <f>Selbstkosten!N76*$D$5</f>
        <v/>
      </c>
      <c r="O76" s="40">
        <f>Selbstkosten!O76*$D$5</f>
        <v/>
      </c>
      <c r="P76" s="28">
        <f>SUM(D76:O76)</f>
        <v/>
      </c>
      <c r="Q76" s="40">
        <f>Selbstkosten!D76*$D$6</f>
        <v/>
      </c>
      <c r="R76" s="40">
        <f>Selbstkosten!E76*$D$6</f>
        <v/>
      </c>
      <c r="S76" s="40">
        <f>Selbstkosten!F76*$D$6</f>
        <v/>
      </c>
      <c r="T76" s="40">
        <f>Selbstkosten!G76*$D$6</f>
        <v/>
      </c>
      <c r="U76" s="40">
        <f>Selbstkosten!H76*$D$6</f>
        <v/>
      </c>
      <c r="V76" s="40">
        <f>Selbstkosten!I76*$D$6</f>
        <v/>
      </c>
      <c r="W76" s="40">
        <f>Selbstkosten!J76*$D$6</f>
        <v/>
      </c>
      <c r="X76" s="40">
        <f>Selbstkosten!K76*$D$6</f>
        <v/>
      </c>
      <c r="Y76" s="40">
        <f>Selbstkosten!L76*$D$6</f>
        <v/>
      </c>
      <c r="Z76" s="40">
        <f>Selbstkosten!M76*$D$6</f>
        <v/>
      </c>
      <c r="AA76" s="40">
        <f>Selbstkosten!N76*$D$6</f>
        <v/>
      </c>
      <c r="AB76" s="40">
        <f>Selbstkosten!O76*$D$6</f>
        <v/>
      </c>
      <c r="AC76" s="28">
        <f>SUM(Q76:AB76)</f>
        <v/>
      </c>
      <c r="AD76" s="77">
        <f>P76+AC76</f>
        <v/>
      </c>
    </row>
    <row r="77">
      <c r="A77" s="68">
        <f>Stammdaten!A77</f>
        <v/>
      </c>
      <c r="B77" s="69">
        <f>Stammdaten!B77</f>
        <v/>
      </c>
      <c r="C77" s="69">
        <f>Stammdaten!C77</f>
        <v/>
      </c>
      <c r="D77" s="40">
        <f>Selbstkosten!D77*$D$5</f>
        <v/>
      </c>
      <c r="E77" s="40">
        <f>Selbstkosten!E77*$D$5</f>
        <v/>
      </c>
      <c r="F77" s="40">
        <f>Selbstkosten!F77*$D$5</f>
        <v/>
      </c>
      <c r="G77" s="40">
        <f>Selbstkosten!G77*$D$5</f>
        <v/>
      </c>
      <c r="H77" s="40">
        <f>Selbstkosten!H77*$D$5</f>
        <v/>
      </c>
      <c r="I77" s="40">
        <f>Selbstkosten!I77*$D$5</f>
        <v/>
      </c>
      <c r="J77" s="40">
        <f>Selbstkosten!J77*$D$5</f>
        <v/>
      </c>
      <c r="K77" s="40">
        <f>Selbstkosten!K77*$D$5</f>
        <v/>
      </c>
      <c r="L77" s="40">
        <f>Selbstkosten!L77*$D$5</f>
        <v/>
      </c>
      <c r="M77" s="40">
        <f>Selbstkosten!M77*$D$5</f>
        <v/>
      </c>
      <c r="N77" s="40">
        <f>Selbstkosten!N77*$D$5</f>
        <v/>
      </c>
      <c r="O77" s="40">
        <f>Selbstkosten!O77*$D$5</f>
        <v/>
      </c>
      <c r="P77" s="28">
        <f>SUM(D77:O77)</f>
        <v/>
      </c>
      <c r="Q77" s="40">
        <f>Selbstkosten!D77*$D$6</f>
        <v/>
      </c>
      <c r="R77" s="40">
        <f>Selbstkosten!E77*$D$6</f>
        <v/>
      </c>
      <c r="S77" s="40">
        <f>Selbstkosten!F77*$D$6</f>
        <v/>
      </c>
      <c r="T77" s="40">
        <f>Selbstkosten!G77*$D$6</f>
        <v/>
      </c>
      <c r="U77" s="40">
        <f>Selbstkosten!H77*$D$6</f>
        <v/>
      </c>
      <c r="V77" s="40">
        <f>Selbstkosten!I77*$D$6</f>
        <v/>
      </c>
      <c r="W77" s="40">
        <f>Selbstkosten!J77*$D$6</f>
        <v/>
      </c>
      <c r="X77" s="40">
        <f>Selbstkosten!K77*$D$6</f>
        <v/>
      </c>
      <c r="Y77" s="40">
        <f>Selbstkosten!L77*$D$6</f>
        <v/>
      </c>
      <c r="Z77" s="40">
        <f>Selbstkosten!M77*$D$6</f>
        <v/>
      </c>
      <c r="AA77" s="40">
        <f>Selbstkosten!N77*$D$6</f>
        <v/>
      </c>
      <c r="AB77" s="40">
        <f>Selbstkosten!O77*$D$6</f>
        <v/>
      </c>
      <c r="AC77" s="28">
        <f>SUM(Q77:AB77)</f>
        <v/>
      </c>
      <c r="AD77" s="77">
        <f>P77+AC77</f>
        <v/>
      </c>
    </row>
    <row r="78">
      <c r="A78" s="68">
        <f>Stammdaten!A78</f>
        <v/>
      </c>
      <c r="B78" s="69">
        <f>Stammdaten!B78</f>
        <v/>
      </c>
      <c r="C78" s="69">
        <f>Stammdaten!C78</f>
        <v/>
      </c>
      <c r="D78" s="40">
        <f>Selbstkosten!D78*$D$5</f>
        <v/>
      </c>
      <c r="E78" s="40">
        <f>Selbstkosten!E78*$D$5</f>
        <v/>
      </c>
      <c r="F78" s="40">
        <f>Selbstkosten!F78*$D$5</f>
        <v/>
      </c>
      <c r="G78" s="40">
        <f>Selbstkosten!G78*$D$5</f>
        <v/>
      </c>
      <c r="H78" s="40">
        <f>Selbstkosten!H78*$D$5</f>
        <v/>
      </c>
      <c r="I78" s="40">
        <f>Selbstkosten!I78*$D$5</f>
        <v/>
      </c>
      <c r="J78" s="40">
        <f>Selbstkosten!J78*$D$5</f>
        <v/>
      </c>
      <c r="K78" s="40">
        <f>Selbstkosten!K78*$D$5</f>
        <v/>
      </c>
      <c r="L78" s="40">
        <f>Selbstkosten!L78*$D$5</f>
        <v/>
      </c>
      <c r="M78" s="40">
        <f>Selbstkosten!M78*$D$5</f>
        <v/>
      </c>
      <c r="N78" s="40">
        <f>Selbstkosten!N78*$D$5</f>
        <v/>
      </c>
      <c r="O78" s="40">
        <f>Selbstkosten!O78*$D$5</f>
        <v/>
      </c>
      <c r="P78" s="28">
        <f>SUM(D78:O78)</f>
        <v/>
      </c>
      <c r="Q78" s="40">
        <f>Selbstkosten!D78*$D$6</f>
        <v/>
      </c>
      <c r="R78" s="40">
        <f>Selbstkosten!E78*$D$6</f>
        <v/>
      </c>
      <c r="S78" s="40">
        <f>Selbstkosten!F78*$D$6</f>
        <v/>
      </c>
      <c r="T78" s="40">
        <f>Selbstkosten!G78*$D$6</f>
        <v/>
      </c>
      <c r="U78" s="40">
        <f>Selbstkosten!H78*$D$6</f>
        <v/>
      </c>
      <c r="V78" s="40">
        <f>Selbstkosten!I78*$D$6</f>
        <v/>
      </c>
      <c r="W78" s="40">
        <f>Selbstkosten!J78*$D$6</f>
        <v/>
      </c>
      <c r="X78" s="40">
        <f>Selbstkosten!K78*$D$6</f>
        <v/>
      </c>
      <c r="Y78" s="40">
        <f>Selbstkosten!L78*$D$6</f>
        <v/>
      </c>
      <c r="Z78" s="40">
        <f>Selbstkosten!M78*$D$6</f>
        <v/>
      </c>
      <c r="AA78" s="40">
        <f>Selbstkosten!N78*$D$6</f>
        <v/>
      </c>
      <c r="AB78" s="40">
        <f>Selbstkosten!O78*$D$6</f>
        <v/>
      </c>
      <c r="AC78" s="28">
        <f>SUM(Q78:AB78)</f>
        <v/>
      </c>
      <c r="AD78" s="77">
        <f>P78+AC78</f>
        <v/>
      </c>
    </row>
    <row r="79">
      <c r="A79" s="71">
        <f>Stammdaten!A79</f>
        <v/>
      </c>
      <c r="B79" s="72">
        <f>Stammdaten!B79</f>
        <v/>
      </c>
      <c r="C79" s="72">
        <f>Stammdaten!C79</f>
        <v/>
      </c>
      <c r="D79" s="40">
        <f>Selbstkosten!D79*$D$5</f>
        <v/>
      </c>
      <c r="E79" s="40">
        <f>Selbstkosten!E79*$D$5</f>
        <v/>
      </c>
      <c r="F79" s="40">
        <f>Selbstkosten!F79*$D$5</f>
        <v/>
      </c>
      <c r="G79" s="40">
        <f>Selbstkosten!G79*$D$5</f>
        <v/>
      </c>
      <c r="H79" s="40">
        <f>Selbstkosten!H79*$D$5</f>
        <v/>
      </c>
      <c r="I79" s="40">
        <f>Selbstkosten!I79*$D$5</f>
        <v/>
      </c>
      <c r="J79" s="40">
        <f>Selbstkosten!J79*$D$5</f>
        <v/>
      </c>
      <c r="K79" s="40">
        <f>Selbstkosten!K79*$D$5</f>
        <v/>
      </c>
      <c r="L79" s="40">
        <f>Selbstkosten!L79*$D$5</f>
        <v/>
      </c>
      <c r="M79" s="40">
        <f>Selbstkosten!M79*$D$5</f>
        <v/>
      </c>
      <c r="N79" s="40">
        <f>Selbstkosten!N79*$D$5</f>
        <v/>
      </c>
      <c r="O79" s="40">
        <f>Selbstkosten!O79*$D$5</f>
        <v/>
      </c>
      <c r="P79" s="28">
        <f>SUM(D79:O79)</f>
        <v/>
      </c>
      <c r="Q79" s="40">
        <f>Selbstkosten!D79*$D$6</f>
        <v/>
      </c>
      <c r="R79" s="40">
        <f>Selbstkosten!E79*$D$6</f>
        <v/>
      </c>
      <c r="S79" s="40">
        <f>Selbstkosten!F79*$D$6</f>
        <v/>
      </c>
      <c r="T79" s="40">
        <f>Selbstkosten!G79*$D$6</f>
        <v/>
      </c>
      <c r="U79" s="40">
        <f>Selbstkosten!H79*$D$6</f>
        <v/>
      </c>
      <c r="V79" s="40">
        <f>Selbstkosten!I79*$D$6</f>
        <v/>
      </c>
      <c r="W79" s="40">
        <f>Selbstkosten!J79*$D$6</f>
        <v/>
      </c>
      <c r="X79" s="40">
        <f>Selbstkosten!K79*$D$6</f>
        <v/>
      </c>
      <c r="Y79" s="40">
        <f>Selbstkosten!L79*$D$6</f>
        <v/>
      </c>
      <c r="Z79" s="40">
        <f>Selbstkosten!M79*$D$6</f>
        <v/>
      </c>
      <c r="AA79" s="40">
        <f>Selbstkosten!N79*$D$6</f>
        <v/>
      </c>
      <c r="AB79" s="40">
        <f>Selbstkosten!O79*$D$6</f>
        <v/>
      </c>
      <c r="AC79" s="28">
        <f>SUM(Q79:AB79)</f>
        <v/>
      </c>
      <c r="AD79" s="77">
        <f>P79+AC79</f>
        <v/>
      </c>
    </row>
    <row r="80">
      <c r="A80" s="71">
        <f>Stammdaten!A80</f>
        <v/>
      </c>
      <c r="B80" s="72">
        <f>Stammdaten!B80</f>
        <v/>
      </c>
      <c r="C80" s="72">
        <f>Stammdaten!C80</f>
        <v/>
      </c>
      <c r="D80" s="40">
        <f>Selbstkosten!D80*$D$5</f>
        <v/>
      </c>
      <c r="E80" s="40">
        <f>Selbstkosten!E80*$D$5</f>
        <v/>
      </c>
      <c r="F80" s="40">
        <f>Selbstkosten!F80*$D$5</f>
        <v/>
      </c>
      <c r="G80" s="40">
        <f>Selbstkosten!G80*$D$5</f>
        <v/>
      </c>
      <c r="H80" s="40">
        <f>Selbstkosten!H80*$D$5</f>
        <v/>
      </c>
      <c r="I80" s="40">
        <f>Selbstkosten!I80*$D$5</f>
        <v/>
      </c>
      <c r="J80" s="40">
        <f>Selbstkosten!J80*$D$5</f>
        <v/>
      </c>
      <c r="K80" s="40">
        <f>Selbstkosten!K80*$D$5</f>
        <v/>
      </c>
      <c r="L80" s="40">
        <f>Selbstkosten!L80*$D$5</f>
        <v/>
      </c>
      <c r="M80" s="40">
        <f>Selbstkosten!M80*$D$5</f>
        <v/>
      </c>
      <c r="N80" s="40">
        <f>Selbstkosten!N80*$D$5</f>
        <v/>
      </c>
      <c r="O80" s="40">
        <f>Selbstkosten!O80*$D$5</f>
        <v/>
      </c>
      <c r="P80" s="28">
        <f>SUM(D80:O80)</f>
        <v/>
      </c>
      <c r="Q80" s="40">
        <f>Selbstkosten!D80*$D$6</f>
        <v/>
      </c>
      <c r="R80" s="40">
        <f>Selbstkosten!E80*$D$6</f>
        <v/>
      </c>
      <c r="S80" s="40">
        <f>Selbstkosten!F80*$D$6</f>
        <v/>
      </c>
      <c r="T80" s="40">
        <f>Selbstkosten!G80*$D$6</f>
        <v/>
      </c>
      <c r="U80" s="40">
        <f>Selbstkosten!H80*$D$6</f>
        <v/>
      </c>
      <c r="V80" s="40">
        <f>Selbstkosten!I80*$D$6</f>
        <v/>
      </c>
      <c r="W80" s="40">
        <f>Selbstkosten!J80*$D$6</f>
        <v/>
      </c>
      <c r="X80" s="40">
        <f>Selbstkosten!K80*$D$6</f>
        <v/>
      </c>
      <c r="Y80" s="40">
        <f>Selbstkosten!L80*$D$6</f>
        <v/>
      </c>
      <c r="Z80" s="40">
        <f>Selbstkosten!M80*$D$6</f>
        <v/>
      </c>
      <c r="AA80" s="40">
        <f>Selbstkosten!N80*$D$6</f>
        <v/>
      </c>
      <c r="AB80" s="40">
        <f>Selbstkosten!O80*$D$6</f>
        <v/>
      </c>
      <c r="AC80" s="28">
        <f>SUM(Q80:AB80)</f>
        <v/>
      </c>
      <c r="AD80" s="77">
        <f>P80+AC80</f>
        <v/>
      </c>
    </row>
    <row r="81">
      <c r="A81" s="71">
        <f>Stammdaten!A81</f>
        <v/>
      </c>
      <c r="B81" s="72">
        <f>Stammdaten!B81</f>
        <v/>
      </c>
      <c r="C81" s="72">
        <f>Stammdaten!C81</f>
        <v/>
      </c>
      <c r="D81" s="40">
        <f>Selbstkosten!D81*$D$5</f>
        <v/>
      </c>
      <c r="E81" s="40">
        <f>Selbstkosten!E81*$D$5</f>
        <v/>
      </c>
      <c r="F81" s="40">
        <f>Selbstkosten!F81*$D$5</f>
        <v/>
      </c>
      <c r="G81" s="40">
        <f>Selbstkosten!G81*$D$5</f>
        <v/>
      </c>
      <c r="H81" s="40">
        <f>Selbstkosten!H81*$D$5</f>
        <v/>
      </c>
      <c r="I81" s="40">
        <f>Selbstkosten!I81*$D$5</f>
        <v/>
      </c>
      <c r="J81" s="40">
        <f>Selbstkosten!J81*$D$5</f>
        <v/>
      </c>
      <c r="K81" s="40">
        <f>Selbstkosten!K81*$D$5</f>
        <v/>
      </c>
      <c r="L81" s="40">
        <f>Selbstkosten!L81*$D$5</f>
        <v/>
      </c>
      <c r="M81" s="40">
        <f>Selbstkosten!M81*$D$5</f>
        <v/>
      </c>
      <c r="N81" s="40">
        <f>Selbstkosten!N81*$D$5</f>
        <v/>
      </c>
      <c r="O81" s="40">
        <f>Selbstkosten!O81*$D$5</f>
        <v/>
      </c>
      <c r="P81" s="28">
        <f>SUM(D81:O81)</f>
        <v/>
      </c>
      <c r="Q81" s="40">
        <f>Selbstkosten!D81*$D$6</f>
        <v/>
      </c>
      <c r="R81" s="40">
        <f>Selbstkosten!E81*$D$6</f>
        <v/>
      </c>
      <c r="S81" s="40">
        <f>Selbstkosten!F81*$D$6</f>
        <v/>
      </c>
      <c r="T81" s="40">
        <f>Selbstkosten!G81*$D$6</f>
        <v/>
      </c>
      <c r="U81" s="40">
        <f>Selbstkosten!H81*$D$6</f>
        <v/>
      </c>
      <c r="V81" s="40">
        <f>Selbstkosten!I81*$D$6</f>
        <v/>
      </c>
      <c r="W81" s="40">
        <f>Selbstkosten!J81*$D$6</f>
        <v/>
      </c>
      <c r="X81" s="40">
        <f>Selbstkosten!K81*$D$6</f>
        <v/>
      </c>
      <c r="Y81" s="40">
        <f>Selbstkosten!L81*$D$6</f>
        <v/>
      </c>
      <c r="Z81" s="40">
        <f>Selbstkosten!M81*$D$6</f>
        <v/>
      </c>
      <c r="AA81" s="40">
        <f>Selbstkosten!N81*$D$6</f>
        <v/>
      </c>
      <c r="AB81" s="40">
        <f>Selbstkosten!O81*$D$6</f>
        <v/>
      </c>
      <c r="AC81" s="28">
        <f>SUM(Q81:AB81)</f>
        <v/>
      </c>
      <c r="AD81" s="77">
        <f>P81+AC81</f>
        <v/>
      </c>
    </row>
    <row r="82">
      <c r="A82" s="71">
        <f>Stammdaten!A82</f>
        <v/>
      </c>
      <c r="B82" s="72">
        <f>Stammdaten!B82</f>
        <v/>
      </c>
      <c r="C82" s="72">
        <f>Stammdaten!C82</f>
        <v/>
      </c>
      <c r="D82" s="40">
        <f>Selbstkosten!D82*$D$5</f>
        <v/>
      </c>
      <c r="E82" s="40">
        <f>Selbstkosten!E82*$D$5</f>
        <v/>
      </c>
      <c r="F82" s="40">
        <f>Selbstkosten!F82*$D$5</f>
        <v/>
      </c>
      <c r="G82" s="40">
        <f>Selbstkosten!G82*$D$5</f>
        <v/>
      </c>
      <c r="H82" s="40">
        <f>Selbstkosten!H82*$D$5</f>
        <v/>
      </c>
      <c r="I82" s="40">
        <f>Selbstkosten!I82*$D$5</f>
        <v/>
      </c>
      <c r="J82" s="40">
        <f>Selbstkosten!J82*$D$5</f>
        <v/>
      </c>
      <c r="K82" s="40">
        <f>Selbstkosten!K82*$D$5</f>
        <v/>
      </c>
      <c r="L82" s="40">
        <f>Selbstkosten!L82*$D$5</f>
        <v/>
      </c>
      <c r="M82" s="40">
        <f>Selbstkosten!M82*$D$5</f>
        <v/>
      </c>
      <c r="N82" s="40">
        <f>Selbstkosten!N82*$D$5</f>
        <v/>
      </c>
      <c r="O82" s="40">
        <f>Selbstkosten!O82*$D$5</f>
        <v/>
      </c>
      <c r="P82" s="28">
        <f>SUM(D82:O82)</f>
        <v/>
      </c>
      <c r="Q82" s="40">
        <f>Selbstkosten!D82*$D$6</f>
        <v/>
      </c>
      <c r="R82" s="40">
        <f>Selbstkosten!E82*$D$6</f>
        <v/>
      </c>
      <c r="S82" s="40">
        <f>Selbstkosten!F82*$D$6</f>
        <v/>
      </c>
      <c r="T82" s="40">
        <f>Selbstkosten!G82*$D$6</f>
        <v/>
      </c>
      <c r="U82" s="40">
        <f>Selbstkosten!H82*$D$6</f>
        <v/>
      </c>
      <c r="V82" s="40">
        <f>Selbstkosten!I82*$D$6</f>
        <v/>
      </c>
      <c r="W82" s="40">
        <f>Selbstkosten!J82*$D$6</f>
        <v/>
      </c>
      <c r="X82" s="40">
        <f>Selbstkosten!K82*$D$6</f>
        <v/>
      </c>
      <c r="Y82" s="40">
        <f>Selbstkosten!L82*$D$6</f>
        <v/>
      </c>
      <c r="Z82" s="40">
        <f>Selbstkosten!M82*$D$6</f>
        <v/>
      </c>
      <c r="AA82" s="40">
        <f>Selbstkosten!N82*$D$6</f>
        <v/>
      </c>
      <c r="AB82" s="40">
        <f>Selbstkosten!O82*$D$6</f>
        <v/>
      </c>
      <c r="AC82" s="28">
        <f>SUM(Q82:AB82)</f>
        <v/>
      </c>
      <c r="AD82" s="77">
        <f>P82+AC82</f>
        <v/>
      </c>
    </row>
    <row r="83">
      <c r="A83" s="71">
        <f>Stammdaten!A83</f>
        <v/>
      </c>
      <c r="B83" s="72">
        <f>Stammdaten!B83</f>
        <v/>
      </c>
      <c r="C83" s="72">
        <f>Stammdaten!C83</f>
        <v/>
      </c>
      <c r="D83" s="40">
        <f>Selbstkosten!D83*$D$5</f>
        <v/>
      </c>
      <c r="E83" s="40">
        <f>Selbstkosten!E83*$D$5</f>
        <v/>
      </c>
      <c r="F83" s="40">
        <f>Selbstkosten!F83*$D$5</f>
        <v/>
      </c>
      <c r="G83" s="40">
        <f>Selbstkosten!G83*$D$5</f>
        <v/>
      </c>
      <c r="H83" s="40">
        <f>Selbstkosten!H83*$D$5</f>
        <v/>
      </c>
      <c r="I83" s="40">
        <f>Selbstkosten!I83*$D$5</f>
        <v/>
      </c>
      <c r="J83" s="40">
        <f>Selbstkosten!J83*$D$5</f>
        <v/>
      </c>
      <c r="K83" s="40">
        <f>Selbstkosten!K83*$D$5</f>
        <v/>
      </c>
      <c r="L83" s="40">
        <f>Selbstkosten!L83*$D$5</f>
        <v/>
      </c>
      <c r="M83" s="40">
        <f>Selbstkosten!M83*$D$5</f>
        <v/>
      </c>
      <c r="N83" s="40">
        <f>Selbstkosten!N83*$D$5</f>
        <v/>
      </c>
      <c r="O83" s="40">
        <f>Selbstkosten!O83*$D$5</f>
        <v/>
      </c>
      <c r="P83" s="28">
        <f>SUM(D83:O83)</f>
        <v/>
      </c>
      <c r="Q83" s="40">
        <f>Selbstkosten!D83*$D$6</f>
        <v/>
      </c>
      <c r="R83" s="40">
        <f>Selbstkosten!E83*$D$6</f>
        <v/>
      </c>
      <c r="S83" s="40">
        <f>Selbstkosten!F83*$D$6</f>
        <v/>
      </c>
      <c r="T83" s="40">
        <f>Selbstkosten!G83*$D$6</f>
        <v/>
      </c>
      <c r="U83" s="40">
        <f>Selbstkosten!H83*$D$6</f>
        <v/>
      </c>
      <c r="V83" s="40">
        <f>Selbstkosten!I83*$D$6</f>
        <v/>
      </c>
      <c r="W83" s="40">
        <f>Selbstkosten!J83*$D$6</f>
        <v/>
      </c>
      <c r="X83" s="40">
        <f>Selbstkosten!K83*$D$6</f>
        <v/>
      </c>
      <c r="Y83" s="40">
        <f>Selbstkosten!L83*$D$6</f>
        <v/>
      </c>
      <c r="Z83" s="40">
        <f>Selbstkosten!M83*$D$6</f>
        <v/>
      </c>
      <c r="AA83" s="40">
        <f>Selbstkosten!N83*$D$6</f>
        <v/>
      </c>
      <c r="AB83" s="40">
        <f>Selbstkosten!O83*$D$6</f>
        <v/>
      </c>
      <c r="AC83" s="28">
        <f>SUM(Q83:AB83)</f>
        <v/>
      </c>
      <c r="AD83" s="77">
        <f>P83+AC83</f>
        <v/>
      </c>
    </row>
    <row r="84">
      <c r="A84" s="71">
        <f>Stammdaten!A84</f>
        <v/>
      </c>
      <c r="B84" s="72">
        <f>Stammdaten!B84</f>
        <v/>
      </c>
      <c r="C84" s="72">
        <f>Stammdaten!C84</f>
        <v/>
      </c>
      <c r="D84" s="40">
        <f>Selbstkosten!D84*$D$5</f>
        <v/>
      </c>
      <c r="E84" s="40">
        <f>Selbstkosten!E84*$D$5</f>
        <v/>
      </c>
      <c r="F84" s="40">
        <f>Selbstkosten!F84*$D$5</f>
        <v/>
      </c>
      <c r="G84" s="40">
        <f>Selbstkosten!G84*$D$5</f>
        <v/>
      </c>
      <c r="H84" s="40">
        <f>Selbstkosten!H84*$D$5</f>
        <v/>
      </c>
      <c r="I84" s="40">
        <f>Selbstkosten!I84*$D$5</f>
        <v/>
      </c>
      <c r="J84" s="40">
        <f>Selbstkosten!J84*$D$5</f>
        <v/>
      </c>
      <c r="K84" s="40">
        <f>Selbstkosten!K84*$D$5</f>
        <v/>
      </c>
      <c r="L84" s="40">
        <f>Selbstkosten!L84*$D$5</f>
        <v/>
      </c>
      <c r="M84" s="40">
        <f>Selbstkosten!M84*$D$5</f>
        <v/>
      </c>
      <c r="N84" s="40">
        <f>Selbstkosten!N84*$D$5</f>
        <v/>
      </c>
      <c r="O84" s="40">
        <f>Selbstkosten!O84*$D$5</f>
        <v/>
      </c>
      <c r="P84" s="28">
        <f>SUM(D84:O84)</f>
        <v/>
      </c>
      <c r="Q84" s="40">
        <f>Selbstkosten!D84*$D$6</f>
        <v/>
      </c>
      <c r="R84" s="40">
        <f>Selbstkosten!E84*$D$6</f>
        <v/>
      </c>
      <c r="S84" s="40">
        <f>Selbstkosten!F84*$D$6</f>
        <v/>
      </c>
      <c r="T84" s="40">
        <f>Selbstkosten!G84*$D$6</f>
        <v/>
      </c>
      <c r="U84" s="40">
        <f>Selbstkosten!H84*$D$6</f>
        <v/>
      </c>
      <c r="V84" s="40">
        <f>Selbstkosten!I84*$D$6</f>
        <v/>
      </c>
      <c r="W84" s="40">
        <f>Selbstkosten!J84*$D$6</f>
        <v/>
      </c>
      <c r="X84" s="40">
        <f>Selbstkosten!K84*$D$6</f>
        <v/>
      </c>
      <c r="Y84" s="40">
        <f>Selbstkosten!L84*$D$6</f>
        <v/>
      </c>
      <c r="Z84" s="40">
        <f>Selbstkosten!M84*$D$6</f>
        <v/>
      </c>
      <c r="AA84" s="40">
        <f>Selbstkosten!N84*$D$6</f>
        <v/>
      </c>
      <c r="AB84" s="40">
        <f>Selbstkosten!O84*$D$6</f>
        <v/>
      </c>
      <c r="AC84" s="28">
        <f>SUM(Q84:AB84)</f>
        <v/>
      </c>
      <c r="AD84" s="77">
        <f>P84+AC84</f>
        <v/>
      </c>
    </row>
    <row r="85">
      <c r="A85" s="71">
        <f>Stammdaten!A85</f>
        <v/>
      </c>
      <c r="B85" s="72">
        <f>Stammdaten!B85</f>
        <v/>
      </c>
      <c r="C85" s="72">
        <f>Stammdaten!C85</f>
        <v/>
      </c>
      <c r="D85" s="40">
        <f>Selbstkosten!D85*$D$5</f>
        <v/>
      </c>
      <c r="E85" s="40">
        <f>Selbstkosten!E85*$D$5</f>
        <v/>
      </c>
      <c r="F85" s="40">
        <f>Selbstkosten!F85*$D$5</f>
        <v/>
      </c>
      <c r="G85" s="40">
        <f>Selbstkosten!G85*$D$5</f>
        <v/>
      </c>
      <c r="H85" s="40">
        <f>Selbstkosten!H85*$D$5</f>
        <v/>
      </c>
      <c r="I85" s="40">
        <f>Selbstkosten!I85*$D$5</f>
        <v/>
      </c>
      <c r="J85" s="40">
        <f>Selbstkosten!J85*$D$5</f>
        <v/>
      </c>
      <c r="K85" s="40">
        <f>Selbstkosten!K85*$D$5</f>
        <v/>
      </c>
      <c r="L85" s="40">
        <f>Selbstkosten!L85*$D$5</f>
        <v/>
      </c>
      <c r="M85" s="40">
        <f>Selbstkosten!M85*$D$5</f>
        <v/>
      </c>
      <c r="N85" s="40">
        <f>Selbstkosten!N85*$D$5</f>
        <v/>
      </c>
      <c r="O85" s="40">
        <f>Selbstkosten!O85*$D$5</f>
        <v/>
      </c>
      <c r="P85" s="28">
        <f>SUM(D85:O85)</f>
        <v/>
      </c>
      <c r="Q85" s="40">
        <f>Selbstkosten!D85*$D$6</f>
        <v/>
      </c>
      <c r="R85" s="40">
        <f>Selbstkosten!E85*$D$6</f>
        <v/>
      </c>
      <c r="S85" s="40">
        <f>Selbstkosten!F85*$D$6</f>
        <v/>
      </c>
      <c r="T85" s="40">
        <f>Selbstkosten!G85*$D$6</f>
        <v/>
      </c>
      <c r="U85" s="40">
        <f>Selbstkosten!H85*$D$6</f>
        <v/>
      </c>
      <c r="V85" s="40">
        <f>Selbstkosten!I85*$D$6</f>
        <v/>
      </c>
      <c r="W85" s="40">
        <f>Selbstkosten!J85*$D$6</f>
        <v/>
      </c>
      <c r="X85" s="40">
        <f>Selbstkosten!K85*$D$6</f>
        <v/>
      </c>
      <c r="Y85" s="40">
        <f>Selbstkosten!L85*$D$6</f>
        <v/>
      </c>
      <c r="Z85" s="40">
        <f>Selbstkosten!M85*$D$6</f>
        <v/>
      </c>
      <c r="AA85" s="40">
        <f>Selbstkosten!N85*$D$6</f>
        <v/>
      </c>
      <c r="AB85" s="40">
        <f>Selbstkosten!O85*$D$6</f>
        <v/>
      </c>
      <c r="AC85" s="28">
        <f>SUM(Q85:AB85)</f>
        <v/>
      </c>
      <c r="AD85" s="77">
        <f>P85+AC85</f>
        <v/>
      </c>
    </row>
    <row r="86">
      <c r="A86" s="71">
        <f>Stammdaten!A86</f>
        <v/>
      </c>
      <c r="B86" s="72">
        <f>Stammdaten!B86</f>
        <v/>
      </c>
      <c r="C86" s="72">
        <f>Stammdaten!C86</f>
        <v/>
      </c>
      <c r="D86" s="40">
        <f>Selbstkosten!D86*$D$5</f>
        <v/>
      </c>
      <c r="E86" s="40">
        <f>Selbstkosten!E86*$D$5</f>
        <v/>
      </c>
      <c r="F86" s="40">
        <f>Selbstkosten!F86*$D$5</f>
        <v/>
      </c>
      <c r="G86" s="40">
        <f>Selbstkosten!G86*$D$5</f>
        <v/>
      </c>
      <c r="H86" s="40">
        <f>Selbstkosten!H86*$D$5</f>
        <v/>
      </c>
      <c r="I86" s="40">
        <f>Selbstkosten!I86*$D$5</f>
        <v/>
      </c>
      <c r="J86" s="40">
        <f>Selbstkosten!J86*$D$5</f>
        <v/>
      </c>
      <c r="K86" s="40">
        <f>Selbstkosten!K86*$D$5</f>
        <v/>
      </c>
      <c r="L86" s="40">
        <f>Selbstkosten!L86*$D$5</f>
        <v/>
      </c>
      <c r="M86" s="40">
        <f>Selbstkosten!M86*$D$5</f>
        <v/>
      </c>
      <c r="N86" s="40">
        <f>Selbstkosten!N86*$D$5</f>
        <v/>
      </c>
      <c r="O86" s="40">
        <f>Selbstkosten!O86*$D$5</f>
        <v/>
      </c>
      <c r="P86" s="28">
        <f>SUM(D86:O86)</f>
        <v/>
      </c>
      <c r="Q86" s="40">
        <f>Selbstkosten!D86*$D$6</f>
        <v/>
      </c>
      <c r="R86" s="40">
        <f>Selbstkosten!E86*$D$6</f>
        <v/>
      </c>
      <c r="S86" s="40">
        <f>Selbstkosten!F86*$D$6</f>
        <v/>
      </c>
      <c r="T86" s="40">
        <f>Selbstkosten!G86*$D$6</f>
        <v/>
      </c>
      <c r="U86" s="40">
        <f>Selbstkosten!H86*$D$6</f>
        <v/>
      </c>
      <c r="V86" s="40">
        <f>Selbstkosten!I86*$D$6</f>
        <v/>
      </c>
      <c r="W86" s="40">
        <f>Selbstkosten!J86*$D$6</f>
        <v/>
      </c>
      <c r="X86" s="40">
        <f>Selbstkosten!K86*$D$6</f>
        <v/>
      </c>
      <c r="Y86" s="40">
        <f>Selbstkosten!L86*$D$6</f>
        <v/>
      </c>
      <c r="Z86" s="40">
        <f>Selbstkosten!M86*$D$6</f>
        <v/>
      </c>
      <c r="AA86" s="40">
        <f>Selbstkosten!N86*$D$6</f>
        <v/>
      </c>
      <c r="AB86" s="40">
        <f>Selbstkosten!O86*$D$6</f>
        <v/>
      </c>
      <c r="AC86" s="28">
        <f>SUM(Q86:AB86)</f>
        <v/>
      </c>
      <c r="AD86" s="77">
        <f>P86+AC86</f>
        <v/>
      </c>
    </row>
    <row r="87">
      <c r="A87" s="71">
        <f>Stammdaten!A87</f>
        <v/>
      </c>
      <c r="B87" s="72">
        <f>Stammdaten!B87</f>
        <v/>
      </c>
      <c r="C87" s="72">
        <f>Stammdaten!C87</f>
        <v/>
      </c>
      <c r="D87" s="40">
        <f>Selbstkosten!D87*$D$5</f>
        <v/>
      </c>
      <c r="E87" s="40">
        <f>Selbstkosten!E87*$D$5</f>
        <v/>
      </c>
      <c r="F87" s="40">
        <f>Selbstkosten!F87*$D$5</f>
        <v/>
      </c>
      <c r="G87" s="40">
        <f>Selbstkosten!G87*$D$5</f>
        <v/>
      </c>
      <c r="H87" s="40">
        <f>Selbstkosten!H87*$D$5</f>
        <v/>
      </c>
      <c r="I87" s="40">
        <f>Selbstkosten!I87*$D$5</f>
        <v/>
      </c>
      <c r="J87" s="40">
        <f>Selbstkosten!J87*$D$5</f>
        <v/>
      </c>
      <c r="K87" s="40">
        <f>Selbstkosten!K87*$D$5</f>
        <v/>
      </c>
      <c r="L87" s="40">
        <f>Selbstkosten!L87*$D$5</f>
        <v/>
      </c>
      <c r="M87" s="40">
        <f>Selbstkosten!M87*$D$5</f>
        <v/>
      </c>
      <c r="N87" s="40">
        <f>Selbstkosten!N87*$D$5</f>
        <v/>
      </c>
      <c r="O87" s="40">
        <f>Selbstkosten!O87*$D$5</f>
        <v/>
      </c>
      <c r="P87" s="28">
        <f>SUM(D87:O87)</f>
        <v/>
      </c>
      <c r="Q87" s="40">
        <f>Selbstkosten!D87*$D$6</f>
        <v/>
      </c>
      <c r="R87" s="40">
        <f>Selbstkosten!E87*$D$6</f>
        <v/>
      </c>
      <c r="S87" s="40">
        <f>Selbstkosten!F87*$D$6</f>
        <v/>
      </c>
      <c r="T87" s="40">
        <f>Selbstkosten!G87*$D$6</f>
        <v/>
      </c>
      <c r="U87" s="40">
        <f>Selbstkosten!H87*$D$6</f>
        <v/>
      </c>
      <c r="V87" s="40">
        <f>Selbstkosten!I87*$D$6</f>
        <v/>
      </c>
      <c r="W87" s="40">
        <f>Selbstkosten!J87*$D$6</f>
        <v/>
      </c>
      <c r="X87" s="40">
        <f>Selbstkosten!K87*$D$6</f>
        <v/>
      </c>
      <c r="Y87" s="40">
        <f>Selbstkosten!L87*$D$6</f>
        <v/>
      </c>
      <c r="Z87" s="40">
        <f>Selbstkosten!M87*$D$6</f>
        <v/>
      </c>
      <c r="AA87" s="40">
        <f>Selbstkosten!N87*$D$6</f>
        <v/>
      </c>
      <c r="AB87" s="40">
        <f>Selbstkosten!O87*$D$6</f>
        <v/>
      </c>
      <c r="AC87" s="28">
        <f>SUM(Q87:AB87)</f>
        <v/>
      </c>
      <c r="AD87" s="77">
        <f>P87+AC87</f>
        <v/>
      </c>
    </row>
    <row r="88">
      <c r="A88" s="71">
        <f>Stammdaten!A88</f>
        <v/>
      </c>
      <c r="B88" s="72">
        <f>Stammdaten!B88</f>
        <v/>
      </c>
      <c r="C88" s="72">
        <f>Stammdaten!C88</f>
        <v/>
      </c>
      <c r="D88" s="40">
        <f>Selbstkosten!D88*$D$5</f>
        <v/>
      </c>
      <c r="E88" s="40">
        <f>Selbstkosten!E88*$D$5</f>
        <v/>
      </c>
      <c r="F88" s="40">
        <f>Selbstkosten!F88*$D$5</f>
        <v/>
      </c>
      <c r="G88" s="40">
        <f>Selbstkosten!G88*$D$5</f>
        <v/>
      </c>
      <c r="H88" s="40">
        <f>Selbstkosten!H88*$D$5</f>
        <v/>
      </c>
      <c r="I88" s="40">
        <f>Selbstkosten!I88*$D$5</f>
        <v/>
      </c>
      <c r="J88" s="40">
        <f>Selbstkosten!J88*$D$5</f>
        <v/>
      </c>
      <c r="K88" s="40">
        <f>Selbstkosten!K88*$D$5</f>
        <v/>
      </c>
      <c r="L88" s="40">
        <f>Selbstkosten!L88*$D$5</f>
        <v/>
      </c>
      <c r="M88" s="40">
        <f>Selbstkosten!M88*$D$5</f>
        <v/>
      </c>
      <c r="N88" s="40">
        <f>Selbstkosten!N88*$D$5</f>
        <v/>
      </c>
      <c r="O88" s="40">
        <f>Selbstkosten!O88*$D$5</f>
        <v/>
      </c>
      <c r="P88" s="28">
        <f>SUM(D88:O88)</f>
        <v/>
      </c>
      <c r="Q88" s="40">
        <f>Selbstkosten!D88*$D$6</f>
        <v/>
      </c>
      <c r="R88" s="40">
        <f>Selbstkosten!E88*$D$6</f>
        <v/>
      </c>
      <c r="S88" s="40">
        <f>Selbstkosten!F88*$D$6</f>
        <v/>
      </c>
      <c r="T88" s="40">
        <f>Selbstkosten!G88*$D$6</f>
        <v/>
      </c>
      <c r="U88" s="40">
        <f>Selbstkosten!H88*$D$6</f>
        <v/>
      </c>
      <c r="V88" s="40">
        <f>Selbstkosten!I88*$D$6</f>
        <v/>
      </c>
      <c r="W88" s="40">
        <f>Selbstkosten!J88*$D$6</f>
        <v/>
      </c>
      <c r="X88" s="40">
        <f>Selbstkosten!K88*$D$6</f>
        <v/>
      </c>
      <c r="Y88" s="40">
        <f>Selbstkosten!L88*$D$6</f>
        <v/>
      </c>
      <c r="Z88" s="40">
        <f>Selbstkosten!M88*$D$6</f>
        <v/>
      </c>
      <c r="AA88" s="40">
        <f>Selbstkosten!N88*$D$6</f>
        <v/>
      </c>
      <c r="AB88" s="40">
        <f>Selbstkosten!O88*$D$6</f>
        <v/>
      </c>
      <c r="AC88" s="28">
        <f>SUM(Q88:AB88)</f>
        <v/>
      </c>
      <c r="AD88" s="77">
        <f>P88+AC88</f>
        <v/>
      </c>
    </row>
    <row r="89">
      <c r="A89" s="68">
        <f>Stammdaten!A89</f>
        <v/>
      </c>
      <c r="B89" s="69">
        <f>Stammdaten!B89</f>
        <v/>
      </c>
      <c r="C89" s="69">
        <f>Stammdaten!C89</f>
        <v/>
      </c>
      <c r="D89" s="40">
        <f>Selbstkosten!D89*$D$5</f>
        <v/>
      </c>
      <c r="E89" s="40">
        <f>Selbstkosten!E89*$D$5</f>
        <v/>
      </c>
      <c r="F89" s="40">
        <f>Selbstkosten!F89*$D$5</f>
        <v/>
      </c>
      <c r="G89" s="40">
        <f>Selbstkosten!G89*$D$5</f>
        <v/>
      </c>
      <c r="H89" s="40">
        <f>Selbstkosten!H89*$D$5</f>
        <v/>
      </c>
      <c r="I89" s="40">
        <f>Selbstkosten!I89*$D$5</f>
        <v/>
      </c>
      <c r="J89" s="40">
        <f>Selbstkosten!J89*$D$5</f>
        <v/>
      </c>
      <c r="K89" s="40">
        <f>Selbstkosten!K89*$D$5</f>
        <v/>
      </c>
      <c r="L89" s="40">
        <f>Selbstkosten!L89*$D$5</f>
        <v/>
      </c>
      <c r="M89" s="40">
        <f>Selbstkosten!M89*$D$5</f>
        <v/>
      </c>
      <c r="N89" s="40">
        <f>Selbstkosten!N89*$D$5</f>
        <v/>
      </c>
      <c r="O89" s="40">
        <f>Selbstkosten!O89*$D$5</f>
        <v/>
      </c>
      <c r="P89" s="28">
        <f>SUM(D89:O89)</f>
        <v/>
      </c>
      <c r="Q89" s="40">
        <f>Selbstkosten!D89*$D$6</f>
        <v/>
      </c>
      <c r="R89" s="40">
        <f>Selbstkosten!E89*$D$6</f>
        <v/>
      </c>
      <c r="S89" s="40">
        <f>Selbstkosten!F89*$D$6</f>
        <v/>
      </c>
      <c r="T89" s="40">
        <f>Selbstkosten!G89*$D$6</f>
        <v/>
      </c>
      <c r="U89" s="40">
        <f>Selbstkosten!H89*$D$6</f>
        <v/>
      </c>
      <c r="V89" s="40">
        <f>Selbstkosten!I89*$D$6</f>
        <v/>
      </c>
      <c r="W89" s="40">
        <f>Selbstkosten!J89*$D$6</f>
        <v/>
      </c>
      <c r="X89" s="40">
        <f>Selbstkosten!K89*$D$6</f>
        <v/>
      </c>
      <c r="Y89" s="40">
        <f>Selbstkosten!L89*$D$6</f>
        <v/>
      </c>
      <c r="Z89" s="40">
        <f>Selbstkosten!M89*$D$6</f>
        <v/>
      </c>
      <c r="AA89" s="40">
        <f>Selbstkosten!N89*$D$6</f>
        <v/>
      </c>
      <c r="AB89" s="40">
        <f>Selbstkosten!O89*$D$6</f>
        <v/>
      </c>
      <c r="AC89" s="28">
        <f>SUM(Q89:AB89)</f>
        <v/>
      </c>
      <c r="AD89" s="77">
        <f>P89+AC89</f>
        <v/>
      </c>
    </row>
    <row r="90">
      <c r="A90" s="68">
        <f>Stammdaten!A90</f>
        <v/>
      </c>
      <c r="B90" s="69">
        <f>Stammdaten!B90</f>
        <v/>
      </c>
      <c r="C90" s="69">
        <f>Stammdaten!C90</f>
        <v/>
      </c>
      <c r="D90" s="40">
        <f>Selbstkosten!D90*$D$5</f>
        <v/>
      </c>
      <c r="E90" s="40">
        <f>Selbstkosten!E90*$D$5</f>
        <v/>
      </c>
      <c r="F90" s="40">
        <f>Selbstkosten!F90*$D$5</f>
        <v/>
      </c>
      <c r="G90" s="40">
        <f>Selbstkosten!G90*$D$5</f>
        <v/>
      </c>
      <c r="H90" s="40">
        <f>Selbstkosten!H90*$D$5</f>
        <v/>
      </c>
      <c r="I90" s="40">
        <f>Selbstkosten!I90*$D$5</f>
        <v/>
      </c>
      <c r="J90" s="40">
        <f>Selbstkosten!J90*$D$5</f>
        <v/>
      </c>
      <c r="K90" s="40">
        <f>Selbstkosten!K90*$D$5</f>
        <v/>
      </c>
      <c r="L90" s="40">
        <f>Selbstkosten!L90*$D$5</f>
        <v/>
      </c>
      <c r="M90" s="40">
        <f>Selbstkosten!M90*$D$5</f>
        <v/>
      </c>
      <c r="N90" s="40">
        <f>Selbstkosten!N90*$D$5</f>
        <v/>
      </c>
      <c r="O90" s="40">
        <f>Selbstkosten!O90*$D$5</f>
        <v/>
      </c>
      <c r="P90" s="28">
        <f>SUM(D90:O90)</f>
        <v/>
      </c>
      <c r="Q90" s="40">
        <f>Selbstkosten!D90*$D$6</f>
        <v/>
      </c>
      <c r="R90" s="40">
        <f>Selbstkosten!E90*$D$6</f>
        <v/>
      </c>
      <c r="S90" s="40">
        <f>Selbstkosten!F90*$D$6</f>
        <v/>
      </c>
      <c r="T90" s="40">
        <f>Selbstkosten!G90*$D$6</f>
        <v/>
      </c>
      <c r="U90" s="40">
        <f>Selbstkosten!H90*$D$6</f>
        <v/>
      </c>
      <c r="V90" s="40">
        <f>Selbstkosten!I90*$D$6</f>
        <v/>
      </c>
      <c r="W90" s="40">
        <f>Selbstkosten!J90*$D$6</f>
        <v/>
      </c>
      <c r="X90" s="40">
        <f>Selbstkosten!K90*$D$6</f>
        <v/>
      </c>
      <c r="Y90" s="40">
        <f>Selbstkosten!L90*$D$6</f>
        <v/>
      </c>
      <c r="Z90" s="40">
        <f>Selbstkosten!M90*$D$6</f>
        <v/>
      </c>
      <c r="AA90" s="40">
        <f>Selbstkosten!N90*$D$6</f>
        <v/>
      </c>
      <c r="AB90" s="40">
        <f>Selbstkosten!O90*$D$6</f>
        <v/>
      </c>
      <c r="AC90" s="28">
        <f>SUM(Q90:AB90)</f>
        <v/>
      </c>
      <c r="AD90" s="77">
        <f>P90+AC90</f>
        <v/>
      </c>
    </row>
    <row r="91">
      <c r="A91" s="68">
        <f>Stammdaten!A91</f>
        <v/>
      </c>
      <c r="B91" s="69">
        <f>Stammdaten!B91</f>
        <v/>
      </c>
      <c r="C91" s="69">
        <f>Stammdaten!C91</f>
        <v/>
      </c>
      <c r="D91" s="40">
        <f>Selbstkosten!D91*$D$5</f>
        <v/>
      </c>
      <c r="E91" s="40">
        <f>Selbstkosten!E91*$D$5</f>
        <v/>
      </c>
      <c r="F91" s="40">
        <f>Selbstkosten!F91*$D$5</f>
        <v/>
      </c>
      <c r="G91" s="40">
        <f>Selbstkosten!G91*$D$5</f>
        <v/>
      </c>
      <c r="H91" s="40">
        <f>Selbstkosten!H91*$D$5</f>
        <v/>
      </c>
      <c r="I91" s="40">
        <f>Selbstkosten!I91*$D$5</f>
        <v/>
      </c>
      <c r="J91" s="40">
        <f>Selbstkosten!J91*$D$5</f>
        <v/>
      </c>
      <c r="K91" s="40">
        <f>Selbstkosten!K91*$D$5</f>
        <v/>
      </c>
      <c r="L91" s="40">
        <f>Selbstkosten!L91*$D$5</f>
        <v/>
      </c>
      <c r="M91" s="40">
        <f>Selbstkosten!M91*$D$5</f>
        <v/>
      </c>
      <c r="N91" s="40">
        <f>Selbstkosten!N91*$D$5</f>
        <v/>
      </c>
      <c r="O91" s="40">
        <f>Selbstkosten!O91*$D$5</f>
        <v/>
      </c>
      <c r="P91" s="28">
        <f>SUM(D91:O91)</f>
        <v/>
      </c>
      <c r="Q91" s="40">
        <f>Selbstkosten!D91*$D$6</f>
        <v/>
      </c>
      <c r="R91" s="40">
        <f>Selbstkosten!E91*$D$6</f>
        <v/>
      </c>
      <c r="S91" s="40">
        <f>Selbstkosten!F91*$D$6</f>
        <v/>
      </c>
      <c r="T91" s="40">
        <f>Selbstkosten!G91*$D$6</f>
        <v/>
      </c>
      <c r="U91" s="40">
        <f>Selbstkosten!H91*$D$6</f>
        <v/>
      </c>
      <c r="V91" s="40">
        <f>Selbstkosten!I91*$D$6</f>
        <v/>
      </c>
      <c r="W91" s="40">
        <f>Selbstkosten!J91*$D$6</f>
        <v/>
      </c>
      <c r="X91" s="40">
        <f>Selbstkosten!K91*$D$6</f>
        <v/>
      </c>
      <c r="Y91" s="40">
        <f>Selbstkosten!L91*$D$6</f>
        <v/>
      </c>
      <c r="Z91" s="40">
        <f>Selbstkosten!M91*$D$6</f>
        <v/>
      </c>
      <c r="AA91" s="40">
        <f>Selbstkosten!N91*$D$6</f>
        <v/>
      </c>
      <c r="AB91" s="40">
        <f>Selbstkosten!O91*$D$6</f>
        <v/>
      </c>
      <c r="AC91" s="28">
        <f>SUM(Q91:AB91)</f>
        <v/>
      </c>
      <c r="AD91" s="77">
        <f>P91+AC91</f>
        <v/>
      </c>
    </row>
    <row r="92">
      <c r="A92" s="68">
        <f>Stammdaten!A92</f>
        <v/>
      </c>
      <c r="B92" s="69">
        <f>Stammdaten!B92</f>
        <v/>
      </c>
      <c r="C92" s="69">
        <f>Stammdaten!C92</f>
        <v/>
      </c>
      <c r="D92" s="40">
        <f>Selbstkosten!D92*$D$5</f>
        <v/>
      </c>
      <c r="E92" s="40">
        <f>Selbstkosten!E92*$D$5</f>
        <v/>
      </c>
      <c r="F92" s="40">
        <f>Selbstkosten!F92*$D$5</f>
        <v/>
      </c>
      <c r="G92" s="40">
        <f>Selbstkosten!G92*$D$5</f>
        <v/>
      </c>
      <c r="H92" s="40">
        <f>Selbstkosten!H92*$D$5</f>
        <v/>
      </c>
      <c r="I92" s="40">
        <f>Selbstkosten!I92*$D$5</f>
        <v/>
      </c>
      <c r="J92" s="40">
        <f>Selbstkosten!J92*$D$5</f>
        <v/>
      </c>
      <c r="K92" s="40">
        <f>Selbstkosten!K92*$D$5</f>
        <v/>
      </c>
      <c r="L92" s="40">
        <f>Selbstkosten!L92*$D$5</f>
        <v/>
      </c>
      <c r="M92" s="40">
        <f>Selbstkosten!M92*$D$5</f>
        <v/>
      </c>
      <c r="N92" s="40">
        <f>Selbstkosten!N92*$D$5</f>
        <v/>
      </c>
      <c r="O92" s="40">
        <f>Selbstkosten!O92*$D$5</f>
        <v/>
      </c>
      <c r="P92" s="28">
        <f>SUM(D92:O92)</f>
        <v/>
      </c>
      <c r="Q92" s="40">
        <f>Selbstkosten!D92*$D$6</f>
        <v/>
      </c>
      <c r="R92" s="40">
        <f>Selbstkosten!E92*$D$6</f>
        <v/>
      </c>
      <c r="S92" s="40">
        <f>Selbstkosten!F92*$D$6</f>
        <v/>
      </c>
      <c r="T92" s="40">
        <f>Selbstkosten!G92*$D$6</f>
        <v/>
      </c>
      <c r="U92" s="40">
        <f>Selbstkosten!H92*$D$6</f>
        <v/>
      </c>
      <c r="V92" s="40">
        <f>Selbstkosten!I92*$D$6</f>
        <v/>
      </c>
      <c r="W92" s="40">
        <f>Selbstkosten!J92*$D$6</f>
        <v/>
      </c>
      <c r="X92" s="40">
        <f>Selbstkosten!K92*$D$6</f>
        <v/>
      </c>
      <c r="Y92" s="40">
        <f>Selbstkosten!L92*$D$6</f>
        <v/>
      </c>
      <c r="Z92" s="40">
        <f>Selbstkosten!M92*$D$6</f>
        <v/>
      </c>
      <c r="AA92" s="40">
        <f>Selbstkosten!N92*$D$6</f>
        <v/>
      </c>
      <c r="AB92" s="40">
        <f>Selbstkosten!O92*$D$6</f>
        <v/>
      </c>
      <c r="AC92" s="28">
        <f>SUM(Q92:AB92)</f>
        <v/>
      </c>
      <c r="AD92" s="77">
        <f>P92+AC92</f>
        <v/>
      </c>
    </row>
    <row r="93">
      <c r="A93" s="68">
        <f>Stammdaten!A93</f>
        <v/>
      </c>
      <c r="B93" s="69">
        <f>Stammdaten!B93</f>
        <v/>
      </c>
      <c r="C93" s="69">
        <f>Stammdaten!C93</f>
        <v/>
      </c>
      <c r="D93" s="40">
        <f>Selbstkosten!D93*$D$5</f>
        <v/>
      </c>
      <c r="E93" s="40">
        <f>Selbstkosten!E93*$D$5</f>
        <v/>
      </c>
      <c r="F93" s="40">
        <f>Selbstkosten!F93*$D$5</f>
        <v/>
      </c>
      <c r="G93" s="40">
        <f>Selbstkosten!G93*$D$5</f>
        <v/>
      </c>
      <c r="H93" s="40">
        <f>Selbstkosten!H93*$D$5</f>
        <v/>
      </c>
      <c r="I93" s="40">
        <f>Selbstkosten!I93*$D$5</f>
        <v/>
      </c>
      <c r="J93" s="40">
        <f>Selbstkosten!J93*$D$5</f>
        <v/>
      </c>
      <c r="K93" s="40">
        <f>Selbstkosten!K93*$D$5</f>
        <v/>
      </c>
      <c r="L93" s="40">
        <f>Selbstkosten!L93*$D$5</f>
        <v/>
      </c>
      <c r="M93" s="40">
        <f>Selbstkosten!M93*$D$5</f>
        <v/>
      </c>
      <c r="N93" s="40">
        <f>Selbstkosten!N93*$D$5</f>
        <v/>
      </c>
      <c r="O93" s="40">
        <f>Selbstkosten!O93*$D$5</f>
        <v/>
      </c>
      <c r="P93" s="28">
        <f>SUM(D93:O93)</f>
        <v/>
      </c>
      <c r="Q93" s="40">
        <f>Selbstkosten!D93*$D$6</f>
        <v/>
      </c>
      <c r="R93" s="40">
        <f>Selbstkosten!E93*$D$6</f>
        <v/>
      </c>
      <c r="S93" s="40">
        <f>Selbstkosten!F93*$D$6</f>
        <v/>
      </c>
      <c r="T93" s="40">
        <f>Selbstkosten!G93*$D$6</f>
        <v/>
      </c>
      <c r="U93" s="40">
        <f>Selbstkosten!H93*$D$6</f>
        <v/>
      </c>
      <c r="V93" s="40">
        <f>Selbstkosten!I93*$D$6</f>
        <v/>
      </c>
      <c r="W93" s="40">
        <f>Selbstkosten!J93*$D$6</f>
        <v/>
      </c>
      <c r="X93" s="40">
        <f>Selbstkosten!K93*$D$6</f>
        <v/>
      </c>
      <c r="Y93" s="40">
        <f>Selbstkosten!L93*$D$6</f>
        <v/>
      </c>
      <c r="Z93" s="40">
        <f>Selbstkosten!M93*$D$6</f>
        <v/>
      </c>
      <c r="AA93" s="40">
        <f>Selbstkosten!N93*$D$6</f>
        <v/>
      </c>
      <c r="AB93" s="40">
        <f>Selbstkosten!O93*$D$6</f>
        <v/>
      </c>
      <c r="AC93" s="28">
        <f>SUM(Q93:AB93)</f>
        <v/>
      </c>
      <c r="AD93" s="77">
        <f>P93+AC93</f>
        <v/>
      </c>
    </row>
    <row r="94">
      <c r="A94" s="68">
        <f>Stammdaten!A94</f>
        <v/>
      </c>
      <c r="B94" s="69">
        <f>Stammdaten!B94</f>
        <v/>
      </c>
      <c r="C94" s="69">
        <f>Stammdaten!C94</f>
        <v/>
      </c>
      <c r="D94" s="40">
        <f>Selbstkosten!D94*$D$5</f>
        <v/>
      </c>
      <c r="E94" s="40">
        <f>Selbstkosten!E94*$D$5</f>
        <v/>
      </c>
      <c r="F94" s="40">
        <f>Selbstkosten!F94*$D$5</f>
        <v/>
      </c>
      <c r="G94" s="40">
        <f>Selbstkosten!G94*$D$5</f>
        <v/>
      </c>
      <c r="H94" s="40">
        <f>Selbstkosten!H94*$D$5</f>
        <v/>
      </c>
      <c r="I94" s="40">
        <f>Selbstkosten!I94*$D$5</f>
        <v/>
      </c>
      <c r="J94" s="40">
        <f>Selbstkosten!J94*$D$5</f>
        <v/>
      </c>
      <c r="K94" s="40">
        <f>Selbstkosten!K94*$D$5</f>
        <v/>
      </c>
      <c r="L94" s="40">
        <f>Selbstkosten!L94*$D$5</f>
        <v/>
      </c>
      <c r="M94" s="40">
        <f>Selbstkosten!M94*$D$5</f>
        <v/>
      </c>
      <c r="N94" s="40">
        <f>Selbstkosten!N94*$D$5</f>
        <v/>
      </c>
      <c r="O94" s="40">
        <f>Selbstkosten!O94*$D$5</f>
        <v/>
      </c>
      <c r="P94" s="28">
        <f>SUM(D94:O94)</f>
        <v/>
      </c>
      <c r="Q94" s="40">
        <f>Selbstkosten!D94*$D$6</f>
        <v/>
      </c>
      <c r="R94" s="40">
        <f>Selbstkosten!E94*$D$6</f>
        <v/>
      </c>
      <c r="S94" s="40">
        <f>Selbstkosten!F94*$D$6</f>
        <v/>
      </c>
      <c r="T94" s="40">
        <f>Selbstkosten!G94*$D$6</f>
        <v/>
      </c>
      <c r="U94" s="40">
        <f>Selbstkosten!H94*$D$6</f>
        <v/>
      </c>
      <c r="V94" s="40">
        <f>Selbstkosten!I94*$D$6</f>
        <v/>
      </c>
      <c r="W94" s="40">
        <f>Selbstkosten!J94*$D$6</f>
        <v/>
      </c>
      <c r="X94" s="40">
        <f>Selbstkosten!K94*$D$6</f>
        <v/>
      </c>
      <c r="Y94" s="40">
        <f>Selbstkosten!L94*$D$6</f>
        <v/>
      </c>
      <c r="Z94" s="40">
        <f>Selbstkosten!M94*$D$6</f>
        <v/>
      </c>
      <c r="AA94" s="40">
        <f>Selbstkosten!N94*$D$6</f>
        <v/>
      </c>
      <c r="AB94" s="40">
        <f>Selbstkosten!O94*$D$6</f>
        <v/>
      </c>
      <c r="AC94" s="28">
        <f>SUM(Q94:AB94)</f>
        <v/>
      </c>
      <c r="AD94" s="77">
        <f>P94+AC94</f>
        <v/>
      </c>
    </row>
    <row r="95">
      <c r="A95" s="68">
        <f>Stammdaten!A95</f>
        <v/>
      </c>
      <c r="B95" s="69">
        <f>Stammdaten!B95</f>
        <v/>
      </c>
      <c r="C95" s="69">
        <f>Stammdaten!C95</f>
        <v/>
      </c>
      <c r="D95" s="40">
        <f>Selbstkosten!D95*$D$5</f>
        <v/>
      </c>
      <c r="E95" s="40">
        <f>Selbstkosten!E95*$D$5</f>
        <v/>
      </c>
      <c r="F95" s="40">
        <f>Selbstkosten!F95*$D$5</f>
        <v/>
      </c>
      <c r="G95" s="40">
        <f>Selbstkosten!G95*$D$5</f>
        <v/>
      </c>
      <c r="H95" s="40">
        <f>Selbstkosten!H95*$D$5</f>
        <v/>
      </c>
      <c r="I95" s="40">
        <f>Selbstkosten!I95*$D$5</f>
        <v/>
      </c>
      <c r="J95" s="40">
        <f>Selbstkosten!J95*$D$5</f>
        <v/>
      </c>
      <c r="K95" s="40">
        <f>Selbstkosten!K95*$D$5</f>
        <v/>
      </c>
      <c r="L95" s="40">
        <f>Selbstkosten!L95*$D$5</f>
        <v/>
      </c>
      <c r="M95" s="40">
        <f>Selbstkosten!M95*$D$5</f>
        <v/>
      </c>
      <c r="N95" s="40">
        <f>Selbstkosten!N95*$D$5</f>
        <v/>
      </c>
      <c r="O95" s="40">
        <f>Selbstkosten!O95*$D$5</f>
        <v/>
      </c>
      <c r="P95" s="28">
        <f>SUM(D95:O95)</f>
        <v/>
      </c>
      <c r="Q95" s="40">
        <f>Selbstkosten!D95*$D$6</f>
        <v/>
      </c>
      <c r="R95" s="40">
        <f>Selbstkosten!E95*$D$6</f>
        <v/>
      </c>
      <c r="S95" s="40">
        <f>Selbstkosten!F95*$D$6</f>
        <v/>
      </c>
      <c r="T95" s="40">
        <f>Selbstkosten!G95*$D$6</f>
        <v/>
      </c>
      <c r="U95" s="40">
        <f>Selbstkosten!H95*$D$6</f>
        <v/>
      </c>
      <c r="V95" s="40">
        <f>Selbstkosten!I95*$D$6</f>
        <v/>
      </c>
      <c r="W95" s="40">
        <f>Selbstkosten!J95*$D$6</f>
        <v/>
      </c>
      <c r="X95" s="40">
        <f>Selbstkosten!K95*$D$6</f>
        <v/>
      </c>
      <c r="Y95" s="40">
        <f>Selbstkosten!L95*$D$6</f>
        <v/>
      </c>
      <c r="Z95" s="40">
        <f>Selbstkosten!M95*$D$6</f>
        <v/>
      </c>
      <c r="AA95" s="40">
        <f>Selbstkosten!N95*$D$6</f>
        <v/>
      </c>
      <c r="AB95" s="40">
        <f>Selbstkosten!O95*$D$6</f>
        <v/>
      </c>
      <c r="AC95" s="28">
        <f>SUM(Q95:AB95)</f>
        <v/>
      </c>
      <c r="AD95" s="77">
        <f>P95+AC95</f>
        <v/>
      </c>
    </row>
    <row r="96">
      <c r="A96" s="68">
        <f>Stammdaten!A96</f>
        <v/>
      </c>
      <c r="B96" s="69">
        <f>Stammdaten!B96</f>
        <v/>
      </c>
      <c r="C96" s="69">
        <f>Stammdaten!C96</f>
        <v/>
      </c>
      <c r="D96" s="40">
        <f>Selbstkosten!D96*$D$5</f>
        <v/>
      </c>
      <c r="E96" s="40">
        <f>Selbstkosten!E96*$D$5</f>
        <v/>
      </c>
      <c r="F96" s="40">
        <f>Selbstkosten!F96*$D$5</f>
        <v/>
      </c>
      <c r="G96" s="40">
        <f>Selbstkosten!G96*$D$5</f>
        <v/>
      </c>
      <c r="H96" s="40">
        <f>Selbstkosten!H96*$D$5</f>
        <v/>
      </c>
      <c r="I96" s="40">
        <f>Selbstkosten!I96*$D$5</f>
        <v/>
      </c>
      <c r="J96" s="40">
        <f>Selbstkosten!J96*$D$5</f>
        <v/>
      </c>
      <c r="K96" s="40">
        <f>Selbstkosten!K96*$D$5</f>
        <v/>
      </c>
      <c r="L96" s="40">
        <f>Selbstkosten!L96*$D$5</f>
        <v/>
      </c>
      <c r="M96" s="40">
        <f>Selbstkosten!M96*$D$5</f>
        <v/>
      </c>
      <c r="N96" s="40">
        <f>Selbstkosten!N96*$D$5</f>
        <v/>
      </c>
      <c r="O96" s="40">
        <f>Selbstkosten!O96*$D$5</f>
        <v/>
      </c>
      <c r="P96" s="28">
        <f>SUM(D96:O96)</f>
        <v/>
      </c>
      <c r="Q96" s="40">
        <f>Selbstkosten!D96*$D$6</f>
        <v/>
      </c>
      <c r="R96" s="40">
        <f>Selbstkosten!E96*$D$6</f>
        <v/>
      </c>
      <c r="S96" s="40">
        <f>Selbstkosten!F96*$D$6</f>
        <v/>
      </c>
      <c r="T96" s="40">
        <f>Selbstkosten!G96*$D$6</f>
        <v/>
      </c>
      <c r="U96" s="40">
        <f>Selbstkosten!H96*$D$6</f>
        <v/>
      </c>
      <c r="V96" s="40">
        <f>Selbstkosten!I96*$D$6</f>
        <v/>
      </c>
      <c r="W96" s="40">
        <f>Selbstkosten!J96*$D$6</f>
        <v/>
      </c>
      <c r="X96" s="40">
        <f>Selbstkosten!K96*$D$6</f>
        <v/>
      </c>
      <c r="Y96" s="40">
        <f>Selbstkosten!L96*$D$6</f>
        <v/>
      </c>
      <c r="Z96" s="40">
        <f>Selbstkosten!M96*$D$6</f>
        <v/>
      </c>
      <c r="AA96" s="40">
        <f>Selbstkosten!N96*$D$6</f>
        <v/>
      </c>
      <c r="AB96" s="40">
        <f>Selbstkosten!O96*$D$6</f>
        <v/>
      </c>
      <c r="AC96" s="28">
        <f>SUM(Q96:AB96)</f>
        <v/>
      </c>
      <c r="AD96" s="77">
        <f>P96+AC96</f>
        <v/>
      </c>
    </row>
    <row r="97">
      <c r="A97" s="68">
        <f>Stammdaten!A97</f>
        <v/>
      </c>
      <c r="B97" s="69">
        <f>Stammdaten!B97</f>
        <v/>
      </c>
      <c r="C97" s="69">
        <f>Stammdaten!C97</f>
        <v/>
      </c>
      <c r="D97" s="40">
        <f>Selbstkosten!D97*$D$5</f>
        <v/>
      </c>
      <c r="E97" s="40">
        <f>Selbstkosten!E97*$D$5</f>
        <v/>
      </c>
      <c r="F97" s="40">
        <f>Selbstkosten!F97*$D$5</f>
        <v/>
      </c>
      <c r="G97" s="40">
        <f>Selbstkosten!G97*$D$5</f>
        <v/>
      </c>
      <c r="H97" s="40">
        <f>Selbstkosten!H97*$D$5</f>
        <v/>
      </c>
      <c r="I97" s="40">
        <f>Selbstkosten!I97*$D$5</f>
        <v/>
      </c>
      <c r="J97" s="40">
        <f>Selbstkosten!J97*$D$5</f>
        <v/>
      </c>
      <c r="K97" s="40">
        <f>Selbstkosten!K97*$D$5</f>
        <v/>
      </c>
      <c r="L97" s="40">
        <f>Selbstkosten!L97*$D$5</f>
        <v/>
      </c>
      <c r="M97" s="40">
        <f>Selbstkosten!M97*$D$5</f>
        <v/>
      </c>
      <c r="N97" s="40">
        <f>Selbstkosten!N97*$D$5</f>
        <v/>
      </c>
      <c r="O97" s="40">
        <f>Selbstkosten!O97*$D$5</f>
        <v/>
      </c>
      <c r="P97" s="28">
        <f>SUM(D97:O97)</f>
        <v/>
      </c>
      <c r="Q97" s="40">
        <f>Selbstkosten!D97*$D$6</f>
        <v/>
      </c>
      <c r="R97" s="40">
        <f>Selbstkosten!E97*$D$6</f>
        <v/>
      </c>
      <c r="S97" s="40">
        <f>Selbstkosten!F97*$D$6</f>
        <v/>
      </c>
      <c r="T97" s="40">
        <f>Selbstkosten!G97*$D$6</f>
        <v/>
      </c>
      <c r="U97" s="40">
        <f>Selbstkosten!H97*$D$6</f>
        <v/>
      </c>
      <c r="V97" s="40">
        <f>Selbstkosten!I97*$D$6</f>
        <v/>
      </c>
      <c r="W97" s="40">
        <f>Selbstkosten!J97*$D$6</f>
        <v/>
      </c>
      <c r="X97" s="40">
        <f>Selbstkosten!K97*$D$6</f>
        <v/>
      </c>
      <c r="Y97" s="40">
        <f>Selbstkosten!L97*$D$6</f>
        <v/>
      </c>
      <c r="Z97" s="40">
        <f>Selbstkosten!M97*$D$6</f>
        <v/>
      </c>
      <c r="AA97" s="40">
        <f>Selbstkosten!N97*$D$6</f>
        <v/>
      </c>
      <c r="AB97" s="40">
        <f>Selbstkosten!O97*$D$6</f>
        <v/>
      </c>
      <c r="AC97" s="28">
        <f>SUM(Q97:AB97)</f>
        <v/>
      </c>
      <c r="AD97" s="77">
        <f>P97+AC97</f>
        <v/>
      </c>
    </row>
    <row r="98">
      <c r="A98" s="68">
        <f>Stammdaten!A98</f>
        <v/>
      </c>
      <c r="B98" s="69">
        <f>Stammdaten!B98</f>
        <v/>
      </c>
      <c r="C98" s="69">
        <f>Stammdaten!C98</f>
        <v/>
      </c>
      <c r="D98" s="40">
        <f>Selbstkosten!D98*$D$5</f>
        <v/>
      </c>
      <c r="E98" s="40">
        <f>Selbstkosten!E98*$D$5</f>
        <v/>
      </c>
      <c r="F98" s="40">
        <f>Selbstkosten!F98*$D$5</f>
        <v/>
      </c>
      <c r="G98" s="40">
        <f>Selbstkosten!G98*$D$5</f>
        <v/>
      </c>
      <c r="H98" s="40">
        <f>Selbstkosten!H98*$D$5</f>
        <v/>
      </c>
      <c r="I98" s="40">
        <f>Selbstkosten!I98*$D$5</f>
        <v/>
      </c>
      <c r="J98" s="40">
        <f>Selbstkosten!J98*$D$5</f>
        <v/>
      </c>
      <c r="K98" s="40">
        <f>Selbstkosten!K98*$D$5</f>
        <v/>
      </c>
      <c r="L98" s="40">
        <f>Selbstkosten!L98*$D$5</f>
        <v/>
      </c>
      <c r="M98" s="40">
        <f>Selbstkosten!M98*$D$5</f>
        <v/>
      </c>
      <c r="N98" s="40">
        <f>Selbstkosten!N98*$D$5</f>
        <v/>
      </c>
      <c r="O98" s="40">
        <f>Selbstkosten!O98*$D$5</f>
        <v/>
      </c>
      <c r="P98" s="28">
        <f>SUM(D98:O98)</f>
        <v/>
      </c>
      <c r="Q98" s="40">
        <f>Selbstkosten!D98*$D$6</f>
        <v/>
      </c>
      <c r="R98" s="40">
        <f>Selbstkosten!E98*$D$6</f>
        <v/>
      </c>
      <c r="S98" s="40">
        <f>Selbstkosten!F98*$D$6</f>
        <v/>
      </c>
      <c r="T98" s="40">
        <f>Selbstkosten!G98*$D$6</f>
        <v/>
      </c>
      <c r="U98" s="40">
        <f>Selbstkosten!H98*$D$6</f>
        <v/>
      </c>
      <c r="V98" s="40">
        <f>Selbstkosten!I98*$D$6</f>
        <v/>
      </c>
      <c r="W98" s="40">
        <f>Selbstkosten!J98*$D$6</f>
        <v/>
      </c>
      <c r="X98" s="40">
        <f>Selbstkosten!K98*$D$6</f>
        <v/>
      </c>
      <c r="Y98" s="40">
        <f>Selbstkosten!L98*$D$6</f>
        <v/>
      </c>
      <c r="Z98" s="40">
        <f>Selbstkosten!M98*$D$6</f>
        <v/>
      </c>
      <c r="AA98" s="40">
        <f>Selbstkosten!N98*$D$6</f>
        <v/>
      </c>
      <c r="AB98" s="40">
        <f>Selbstkosten!O98*$D$6</f>
        <v/>
      </c>
      <c r="AC98" s="28">
        <f>SUM(Q98:AB98)</f>
        <v/>
      </c>
      <c r="AD98" s="77">
        <f>P98+AC98</f>
        <v/>
      </c>
    </row>
    <row r="99">
      <c r="A99" s="71">
        <f>Stammdaten!A99</f>
        <v/>
      </c>
      <c r="B99" s="72">
        <f>Stammdaten!B99</f>
        <v/>
      </c>
      <c r="C99" s="72">
        <f>Stammdaten!C99</f>
        <v/>
      </c>
      <c r="D99" s="40">
        <f>Selbstkosten!D99*$D$5</f>
        <v/>
      </c>
      <c r="E99" s="40">
        <f>Selbstkosten!E99*$D$5</f>
        <v/>
      </c>
      <c r="F99" s="40">
        <f>Selbstkosten!F99*$D$5</f>
        <v/>
      </c>
      <c r="G99" s="40">
        <f>Selbstkosten!G99*$D$5</f>
        <v/>
      </c>
      <c r="H99" s="40">
        <f>Selbstkosten!H99*$D$5</f>
        <v/>
      </c>
      <c r="I99" s="40">
        <f>Selbstkosten!I99*$D$5</f>
        <v/>
      </c>
      <c r="J99" s="40">
        <f>Selbstkosten!J99*$D$5</f>
        <v/>
      </c>
      <c r="K99" s="40">
        <f>Selbstkosten!K99*$D$5</f>
        <v/>
      </c>
      <c r="L99" s="40">
        <f>Selbstkosten!L99*$D$5</f>
        <v/>
      </c>
      <c r="M99" s="40">
        <f>Selbstkosten!M99*$D$5</f>
        <v/>
      </c>
      <c r="N99" s="40">
        <f>Selbstkosten!N99*$D$5</f>
        <v/>
      </c>
      <c r="O99" s="40">
        <f>Selbstkosten!O99*$D$5</f>
        <v/>
      </c>
      <c r="P99" s="28">
        <f>SUM(D99:O99)</f>
        <v/>
      </c>
      <c r="Q99" s="40">
        <f>Selbstkosten!D99*$D$6</f>
        <v/>
      </c>
      <c r="R99" s="40">
        <f>Selbstkosten!E99*$D$6</f>
        <v/>
      </c>
      <c r="S99" s="40">
        <f>Selbstkosten!F99*$D$6</f>
        <v/>
      </c>
      <c r="T99" s="40">
        <f>Selbstkosten!G99*$D$6</f>
        <v/>
      </c>
      <c r="U99" s="40">
        <f>Selbstkosten!H99*$D$6</f>
        <v/>
      </c>
      <c r="V99" s="40">
        <f>Selbstkosten!I99*$D$6</f>
        <v/>
      </c>
      <c r="W99" s="40">
        <f>Selbstkosten!J99*$D$6</f>
        <v/>
      </c>
      <c r="X99" s="40">
        <f>Selbstkosten!K99*$D$6</f>
        <v/>
      </c>
      <c r="Y99" s="40">
        <f>Selbstkosten!L99*$D$6</f>
        <v/>
      </c>
      <c r="Z99" s="40">
        <f>Selbstkosten!M99*$D$6</f>
        <v/>
      </c>
      <c r="AA99" s="40">
        <f>Selbstkosten!N99*$D$6</f>
        <v/>
      </c>
      <c r="AB99" s="40">
        <f>Selbstkosten!O99*$D$6</f>
        <v/>
      </c>
      <c r="AC99" s="28">
        <f>SUM(Q99:AB99)</f>
        <v/>
      </c>
      <c r="AD99" s="77">
        <f>P99+AC99</f>
        <v/>
      </c>
    </row>
    <row r="100">
      <c r="A100" s="71">
        <f>Stammdaten!A100</f>
        <v/>
      </c>
      <c r="B100" s="72">
        <f>Stammdaten!B100</f>
        <v/>
      </c>
      <c r="C100" s="72">
        <f>Stammdaten!C100</f>
        <v/>
      </c>
      <c r="D100" s="40">
        <f>Selbstkosten!D100*$D$5</f>
        <v/>
      </c>
      <c r="E100" s="40">
        <f>Selbstkosten!E100*$D$5</f>
        <v/>
      </c>
      <c r="F100" s="40">
        <f>Selbstkosten!F100*$D$5</f>
        <v/>
      </c>
      <c r="G100" s="40">
        <f>Selbstkosten!G100*$D$5</f>
        <v/>
      </c>
      <c r="H100" s="40">
        <f>Selbstkosten!H100*$D$5</f>
        <v/>
      </c>
      <c r="I100" s="40">
        <f>Selbstkosten!I100*$D$5</f>
        <v/>
      </c>
      <c r="J100" s="40">
        <f>Selbstkosten!J100*$D$5</f>
        <v/>
      </c>
      <c r="K100" s="40">
        <f>Selbstkosten!K100*$D$5</f>
        <v/>
      </c>
      <c r="L100" s="40">
        <f>Selbstkosten!L100*$D$5</f>
        <v/>
      </c>
      <c r="M100" s="40">
        <f>Selbstkosten!M100*$D$5</f>
        <v/>
      </c>
      <c r="N100" s="40">
        <f>Selbstkosten!N100*$D$5</f>
        <v/>
      </c>
      <c r="O100" s="40">
        <f>Selbstkosten!O100*$D$5</f>
        <v/>
      </c>
      <c r="P100" s="28">
        <f>SUM(D100:O100)</f>
        <v/>
      </c>
      <c r="Q100" s="40">
        <f>Selbstkosten!D100*$D$6</f>
        <v/>
      </c>
      <c r="R100" s="40">
        <f>Selbstkosten!E100*$D$6</f>
        <v/>
      </c>
      <c r="S100" s="40">
        <f>Selbstkosten!F100*$D$6</f>
        <v/>
      </c>
      <c r="T100" s="40">
        <f>Selbstkosten!G100*$D$6</f>
        <v/>
      </c>
      <c r="U100" s="40">
        <f>Selbstkosten!H100*$D$6</f>
        <v/>
      </c>
      <c r="V100" s="40">
        <f>Selbstkosten!I100*$D$6</f>
        <v/>
      </c>
      <c r="W100" s="40">
        <f>Selbstkosten!J100*$D$6</f>
        <v/>
      </c>
      <c r="X100" s="40">
        <f>Selbstkosten!K100*$D$6</f>
        <v/>
      </c>
      <c r="Y100" s="40">
        <f>Selbstkosten!L100*$D$6</f>
        <v/>
      </c>
      <c r="Z100" s="40">
        <f>Selbstkosten!M100*$D$6</f>
        <v/>
      </c>
      <c r="AA100" s="40">
        <f>Selbstkosten!N100*$D$6</f>
        <v/>
      </c>
      <c r="AB100" s="40">
        <f>Selbstkosten!O100*$D$6</f>
        <v/>
      </c>
      <c r="AC100" s="28">
        <f>SUM(Q100:AB100)</f>
        <v/>
      </c>
      <c r="AD100" s="77">
        <f>P100+AC100</f>
        <v/>
      </c>
    </row>
    <row r="101">
      <c r="A101" s="71">
        <f>Stammdaten!A101</f>
        <v/>
      </c>
      <c r="B101" s="72">
        <f>Stammdaten!B101</f>
        <v/>
      </c>
      <c r="C101" s="72">
        <f>Stammdaten!C101</f>
        <v/>
      </c>
      <c r="D101" s="40">
        <f>Selbstkosten!D101*$D$5</f>
        <v/>
      </c>
      <c r="E101" s="40">
        <f>Selbstkosten!E101*$D$5</f>
        <v/>
      </c>
      <c r="F101" s="40">
        <f>Selbstkosten!F101*$D$5</f>
        <v/>
      </c>
      <c r="G101" s="40">
        <f>Selbstkosten!G101*$D$5</f>
        <v/>
      </c>
      <c r="H101" s="40">
        <f>Selbstkosten!H101*$D$5</f>
        <v/>
      </c>
      <c r="I101" s="40">
        <f>Selbstkosten!I101*$D$5</f>
        <v/>
      </c>
      <c r="J101" s="40">
        <f>Selbstkosten!J101*$D$5</f>
        <v/>
      </c>
      <c r="K101" s="40">
        <f>Selbstkosten!K101*$D$5</f>
        <v/>
      </c>
      <c r="L101" s="40">
        <f>Selbstkosten!L101*$D$5</f>
        <v/>
      </c>
      <c r="M101" s="40">
        <f>Selbstkosten!M101*$D$5</f>
        <v/>
      </c>
      <c r="N101" s="40">
        <f>Selbstkosten!N101*$D$5</f>
        <v/>
      </c>
      <c r="O101" s="40">
        <f>Selbstkosten!O101*$D$5</f>
        <v/>
      </c>
      <c r="P101" s="28">
        <f>SUM(D101:O101)</f>
        <v/>
      </c>
      <c r="Q101" s="40">
        <f>Selbstkosten!D101*$D$6</f>
        <v/>
      </c>
      <c r="R101" s="40">
        <f>Selbstkosten!E101*$D$6</f>
        <v/>
      </c>
      <c r="S101" s="40">
        <f>Selbstkosten!F101*$D$6</f>
        <v/>
      </c>
      <c r="T101" s="40">
        <f>Selbstkosten!G101*$D$6</f>
        <v/>
      </c>
      <c r="U101" s="40">
        <f>Selbstkosten!H101*$D$6</f>
        <v/>
      </c>
      <c r="V101" s="40">
        <f>Selbstkosten!I101*$D$6</f>
        <v/>
      </c>
      <c r="W101" s="40">
        <f>Selbstkosten!J101*$D$6</f>
        <v/>
      </c>
      <c r="X101" s="40">
        <f>Selbstkosten!K101*$D$6</f>
        <v/>
      </c>
      <c r="Y101" s="40">
        <f>Selbstkosten!L101*$D$6</f>
        <v/>
      </c>
      <c r="Z101" s="40">
        <f>Selbstkosten!M101*$D$6</f>
        <v/>
      </c>
      <c r="AA101" s="40">
        <f>Selbstkosten!N101*$D$6</f>
        <v/>
      </c>
      <c r="AB101" s="40">
        <f>Selbstkosten!O101*$D$6</f>
        <v/>
      </c>
      <c r="AC101" s="28">
        <f>SUM(Q101:AB101)</f>
        <v/>
      </c>
      <c r="AD101" s="77">
        <f>P101+AC101</f>
        <v/>
      </c>
    </row>
    <row r="102">
      <c r="A102" s="71">
        <f>Stammdaten!A102</f>
        <v/>
      </c>
      <c r="B102" s="72">
        <f>Stammdaten!B102</f>
        <v/>
      </c>
      <c r="C102" s="72">
        <f>Stammdaten!C102</f>
        <v/>
      </c>
      <c r="D102" s="40">
        <f>Selbstkosten!D102*$D$5</f>
        <v/>
      </c>
      <c r="E102" s="40">
        <f>Selbstkosten!E102*$D$5</f>
        <v/>
      </c>
      <c r="F102" s="40">
        <f>Selbstkosten!F102*$D$5</f>
        <v/>
      </c>
      <c r="G102" s="40">
        <f>Selbstkosten!G102*$D$5</f>
        <v/>
      </c>
      <c r="H102" s="40">
        <f>Selbstkosten!H102*$D$5</f>
        <v/>
      </c>
      <c r="I102" s="40">
        <f>Selbstkosten!I102*$D$5</f>
        <v/>
      </c>
      <c r="J102" s="40">
        <f>Selbstkosten!J102*$D$5</f>
        <v/>
      </c>
      <c r="K102" s="40">
        <f>Selbstkosten!K102*$D$5</f>
        <v/>
      </c>
      <c r="L102" s="40">
        <f>Selbstkosten!L102*$D$5</f>
        <v/>
      </c>
      <c r="M102" s="40">
        <f>Selbstkosten!M102*$D$5</f>
        <v/>
      </c>
      <c r="N102" s="40">
        <f>Selbstkosten!N102*$D$5</f>
        <v/>
      </c>
      <c r="O102" s="40">
        <f>Selbstkosten!O102*$D$5</f>
        <v/>
      </c>
      <c r="P102" s="28">
        <f>SUM(D102:O102)</f>
        <v/>
      </c>
      <c r="Q102" s="40">
        <f>Selbstkosten!D102*$D$6</f>
        <v/>
      </c>
      <c r="R102" s="40">
        <f>Selbstkosten!E102*$D$6</f>
        <v/>
      </c>
      <c r="S102" s="40">
        <f>Selbstkosten!F102*$D$6</f>
        <v/>
      </c>
      <c r="T102" s="40">
        <f>Selbstkosten!G102*$D$6</f>
        <v/>
      </c>
      <c r="U102" s="40">
        <f>Selbstkosten!H102*$D$6</f>
        <v/>
      </c>
      <c r="V102" s="40">
        <f>Selbstkosten!I102*$D$6</f>
        <v/>
      </c>
      <c r="W102" s="40">
        <f>Selbstkosten!J102*$D$6</f>
        <v/>
      </c>
      <c r="X102" s="40">
        <f>Selbstkosten!K102*$D$6</f>
        <v/>
      </c>
      <c r="Y102" s="40">
        <f>Selbstkosten!L102*$D$6</f>
        <v/>
      </c>
      <c r="Z102" s="40">
        <f>Selbstkosten!M102*$D$6</f>
        <v/>
      </c>
      <c r="AA102" s="40">
        <f>Selbstkosten!N102*$D$6</f>
        <v/>
      </c>
      <c r="AB102" s="40">
        <f>Selbstkosten!O102*$D$6</f>
        <v/>
      </c>
      <c r="AC102" s="28">
        <f>SUM(Q102:AB102)</f>
        <v/>
      </c>
      <c r="AD102" s="77">
        <f>P102+AC102</f>
        <v/>
      </c>
    </row>
    <row r="103">
      <c r="A103" s="71">
        <f>Stammdaten!A103</f>
        <v/>
      </c>
      <c r="B103" s="72">
        <f>Stammdaten!B103</f>
        <v/>
      </c>
      <c r="C103" s="72">
        <f>Stammdaten!C103</f>
        <v/>
      </c>
      <c r="D103" s="40">
        <f>Selbstkosten!D103*$D$5</f>
        <v/>
      </c>
      <c r="E103" s="40">
        <f>Selbstkosten!E103*$D$5</f>
        <v/>
      </c>
      <c r="F103" s="40">
        <f>Selbstkosten!F103*$D$5</f>
        <v/>
      </c>
      <c r="G103" s="40">
        <f>Selbstkosten!G103*$D$5</f>
        <v/>
      </c>
      <c r="H103" s="40">
        <f>Selbstkosten!H103*$D$5</f>
        <v/>
      </c>
      <c r="I103" s="40">
        <f>Selbstkosten!I103*$D$5</f>
        <v/>
      </c>
      <c r="J103" s="40">
        <f>Selbstkosten!J103*$D$5</f>
        <v/>
      </c>
      <c r="K103" s="40">
        <f>Selbstkosten!K103*$D$5</f>
        <v/>
      </c>
      <c r="L103" s="40">
        <f>Selbstkosten!L103*$D$5</f>
        <v/>
      </c>
      <c r="M103" s="40">
        <f>Selbstkosten!M103*$D$5</f>
        <v/>
      </c>
      <c r="N103" s="40">
        <f>Selbstkosten!N103*$D$5</f>
        <v/>
      </c>
      <c r="O103" s="40">
        <f>Selbstkosten!O103*$D$5</f>
        <v/>
      </c>
      <c r="P103" s="28">
        <f>SUM(D103:O103)</f>
        <v/>
      </c>
      <c r="Q103" s="40">
        <f>Selbstkosten!D103*$D$6</f>
        <v/>
      </c>
      <c r="R103" s="40">
        <f>Selbstkosten!E103*$D$6</f>
        <v/>
      </c>
      <c r="S103" s="40">
        <f>Selbstkosten!F103*$D$6</f>
        <v/>
      </c>
      <c r="T103" s="40">
        <f>Selbstkosten!G103*$D$6</f>
        <v/>
      </c>
      <c r="U103" s="40">
        <f>Selbstkosten!H103*$D$6</f>
        <v/>
      </c>
      <c r="V103" s="40">
        <f>Selbstkosten!I103*$D$6</f>
        <v/>
      </c>
      <c r="W103" s="40">
        <f>Selbstkosten!J103*$D$6</f>
        <v/>
      </c>
      <c r="X103" s="40">
        <f>Selbstkosten!K103*$D$6</f>
        <v/>
      </c>
      <c r="Y103" s="40">
        <f>Selbstkosten!L103*$D$6</f>
        <v/>
      </c>
      <c r="Z103" s="40">
        <f>Selbstkosten!M103*$D$6</f>
        <v/>
      </c>
      <c r="AA103" s="40">
        <f>Selbstkosten!N103*$D$6</f>
        <v/>
      </c>
      <c r="AB103" s="40">
        <f>Selbstkosten!O103*$D$6</f>
        <v/>
      </c>
      <c r="AC103" s="28">
        <f>SUM(Q103:AB103)</f>
        <v/>
      </c>
      <c r="AD103" s="77">
        <f>P103+AC103</f>
        <v/>
      </c>
    </row>
    <row r="104">
      <c r="A104" s="71">
        <f>Stammdaten!A104</f>
        <v/>
      </c>
      <c r="B104" s="72">
        <f>Stammdaten!B104</f>
        <v/>
      </c>
      <c r="C104" s="72">
        <f>Stammdaten!C104</f>
        <v/>
      </c>
      <c r="D104" s="40">
        <f>Selbstkosten!D104*$D$5</f>
        <v/>
      </c>
      <c r="E104" s="40">
        <f>Selbstkosten!E104*$D$5</f>
        <v/>
      </c>
      <c r="F104" s="40">
        <f>Selbstkosten!F104*$D$5</f>
        <v/>
      </c>
      <c r="G104" s="40">
        <f>Selbstkosten!G104*$D$5</f>
        <v/>
      </c>
      <c r="H104" s="40">
        <f>Selbstkosten!H104*$D$5</f>
        <v/>
      </c>
      <c r="I104" s="40">
        <f>Selbstkosten!I104*$D$5</f>
        <v/>
      </c>
      <c r="J104" s="40">
        <f>Selbstkosten!J104*$D$5</f>
        <v/>
      </c>
      <c r="K104" s="40">
        <f>Selbstkosten!K104*$D$5</f>
        <v/>
      </c>
      <c r="L104" s="40">
        <f>Selbstkosten!L104*$D$5</f>
        <v/>
      </c>
      <c r="M104" s="40">
        <f>Selbstkosten!M104*$D$5</f>
        <v/>
      </c>
      <c r="N104" s="40">
        <f>Selbstkosten!N104*$D$5</f>
        <v/>
      </c>
      <c r="O104" s="40">
        <f>Selbstkosten!O104*$D$5</f>
        <v/>
      </c>
      <c r="P104" s="28">
        <f>SUM(D104:O104)</f>
        <v/>
      </c>
      <c r="Q104" s="40">
        <f>Selbstkosten!D104*$D$6</f>
        <v/>
      </c>
      <c r="R104" s="40">
        <f>Selbstkosten!E104*$D$6</f>
        <v/>
      </c>
      <c r="S104" s="40">
        <f>Selbstkosten!F104*$D$6</f>
        <v/>
      </c>
      <c r="T104" s="40">
        <f>Selbstkosten!G104*$D$6</f>
        <v/>
      </c>
      <c r="U104" s="40">
        <f>Selbstkosten!H104*$D$6</f>
        <v/>
      </c>
      <c r="V104" s="40">
        <f>Selbstkosten!I104*$D$6</f>
        <v/>
      </c>
      <c r="W104" s="40">
        <f>Selbstkosten!J104*$D$6</f>
        <v/>
      </c>
      <c r="X104" s="40">
        <f>Selbstkosten!K104*$D$6</f>
        <v/>
      </c>
      <c r="Y104" s="40">
        <f>Selbstkosten!L104*$D$6</f>
        <v/>
      </c>
      <c r="Z104" s="40">
        <f>Selbstkosten!M104*$D$6</f>
        <v/>
      </c>
      <c r="AA104" s="40">
        <f>Selbstkosten!N104*$D$6</f>
        <v/>
      </c>
      <c r="AB104" s="40">
        <f>Selbstkosten!O104*$D$6</f>
        <v/>
      </c>
      <c r="AC104" s="28">
        <f>SUM(Q104:AB104)</f>
        <v/>
      </c>
      <c r="AD104" s="77">
        <f>P104+AC104</f>
        <v/>
      </c>
    </row>
    <row r="105">
      <c r="A105" s="71">
        <f>Stammdaten!A105</f>
        <v/>
      </c>
      <c r="B105" s="72">
        <f>Stammdaten!B105</f>
        <v/>
      </c>
      <c r="C105" s="72">
        <f>Stammdaten!C105</f>
        <v/>
      </c>
      <c r="D105" s="40">
        <f>Selbstkosten!D105*$D$5</f>
        <v/>
      </c>
      <c r="E105" s="40">
        <f>Selbstkosten!E105*$D$5</f>
        <v/>
      </c>
      <c r="F105" s="40">
        <f>Selbstkosten!F105*$D$5</f>
        <v/>
      </c>
      <c r="G105" s="40">
        <f>Selbstkosten!G105*$D$5</f>
        <v/>
      </c>
      <c r="H105" s="40">
        <f>Selbstkosten!H105*$D$5</f>
        <v/>
      </c>
      <c r="I105" s="40">
        <f>Selbstkosten!I105*$D$5</f>
        <v/>
      </c>
      <c r="J105" s="40">
        <f>Selbstkosten!J105*$D$5</f>
        <v/>
      </c>
      <c r="K105" s="40">
        <f>Selbstkosten!K105*$D$5</f>
        <v/>
      </c>
      <c r="L105" s="40">
        <f>Selbstkosten!L105*$D$5</f>
        <v/>
      </c>
      <c r="M105" s="40">
        <f>Selbstkosten!M105*$D$5</f>
        <v/>
      </c>
      <c r="N105" s="40">
        <f>Selbstkosten!N105*$D$5</f>
        <v/>
      </c>
      <c r="O105" s="40">
        <f>Selbstkosten!O105*$D$5</f>
        <v/>
      </c>
      <c r="P105" s="28">
        <f>SUM(D105:O105)</f>
        <v/>
      </c>
      <c r="Q105" s="40">
        <f>Selbstkosten!D105*$D$6</f>
        <v/>
      </c>
      <c r="R105" s="40">
        <f>Selbstkosten!E105*$D$6</f>
        <v/>
      </c>
      <c r="S105" s="40">
        <f>Selbstkosten!F105*$D$6</f>
        <v/>
      </c>
      <c r="T105" s="40">
        <f>Selbstkosten!G105*$D$6</f>
        <v/>
      </c>
      <c r="U105" s="40">
        <f>Selbstkosten!H105*$D$6</f>
        <v/>
      </c>
      <c r="V105" s="40">
        <f>Selbstkosten!I105*$D$6</f>
        <v/>
      </c>
      <c r="W105" s="40">
        <f>Selbstkosten!J105*$D$6</f>
        <v/>
      </c>
      <c r="X105" s="40">
        <f>Selbstkosten!K105*$D$6</f>
        <v/>
      </c>
      <c r="Y105" s="40">
        <f>Selbstkosten!L105*$D$6</f>
        <v/>
      </c>
      <c r="Z105" s="40">
        <f>Selbstkosten!M105*$D$6</f>
        <v/>
      </c>
      <c r="AA105" s="40">
        <f>Selbstkosten!N105*$D$6</f>
        <v/>
      </c>
      <c r="AB105" s="40">
        <f>Selbstkosten!O105*$D$6</f>
        <v/>
      </c>
      <c r="AC105" s="28">
        <f>SUM(Q105:AB105)</f>
        <v/>
      </c>
      <c r="AD105" s="77">
        <f>P105+AC105</f>
        <v/>
      </c>
    </row>
    <row r="106">
      <c r="A106" s="71">
        <f>Stammdaten!A106</f>
        <v/>
      </c>
      <c r="B106" s="72">
        <f>Stammdaten!B106</f>
        <v/>
      </c>
      <c r="C106" s="72">
        <f>Stammdaten!C106</f>
        <v/>
      </c>
      <c r="D106" s="40">
        <f>Selbstkosten!D106*$D$5</f>
        <v/>
      </c>
      <c r="E106" s="40">
        <f>Selbstkosten!E106*$D$5</f>
        <v/>
      </c>
      <c r="F106" s="40">
        <f>Selbstkosten!F106*$D$5</f>
        <v/>
      </c>
      <c r="G106" s="40">
        <f>Selbstkosten!G106*$D$5</f>
        <v/>
      </c>
      <c r="H106" s="40">
        <f>Selbstkosten!H106*$D$5</f>
        <v/>
      </c>
      <c r="I106" s="40">
        <f>Selbstkosten!I106*$D$5</f>
        <v/>
      </c>
      <c r="J106" s="40">
        <f>Selbstkosten!J106*$D$5</f>
        <v/>
      </c>
      <c r="K106" s="40">
        <f>Selbstkosten!K106*$D$5</f>
        <v/>
      </c>
      <c r="L106" s="40">
        <f>Selbstkosten!L106*$D$5</f>
        <v/>
      </c>
      <c r="M106" s="40">
        <f>Selbstkosten!M106*$D$5</f>
        <v/>
      </c>
      <c r="N106" s="40">
        <f>Selbstkosten!N106*$D$5</f>
        <v/>
      </c>
      <c r="O106" s="40">
        <f>Selbstkosten!O106*$D$5</f>
        <v/>
      </c>
      <c r="P106" s="28">
        <f>SUM(D106:O106)</f>
        <v/>
      </c>
      <c r="Q106" s="40">
        <f>Selbstkosten!D106*$D$6</f>
        <v/>
      </c>
      <c r="R106" s="40">
        <f>Selbstkosten!E106*$D$6</f>
        <v/>
      </c>
      <c r="S106" s="40">
        <f>Selbstkosten!F106*$D$6</f>
        <v/>
      </c>
      <c r="T106" s="40">
        <f>Selbstkosten!G106*$D$6</f>
        <v/>
      </c>
      <c r="U106" s="40">
        <f>Selbstkosten!H106*$D$6</f>
        <v/>
      </c>
      <c r="V106" s="40">
        <f>Selbstkosten!I106*$D$6</f>
        <v/>
      </c>
      <c r="W106" s="40">
        <f>Selbstkosten!J106*$D$6</f>
        <v/>
      </c>
      <c r="X106" s="40">
        <f>Selbstkosten!K106*$D$6</f>
        <v/>
      </c>
      <c r="Y106" s="40">
        <f>Selbstkosten!L106*$D$6</f>
        <v/>
      </c>
      <c r="Z106" s="40">
        <f>Selbstkosten!M106*$D$6</f>
        <v/>
      </c>
      <c r="AA106" s="40">
        <f>Selbstkosten!N106*$D$6</f>
        <v/>
      </c>
      <c r="AB106" s="40">
        <f>Selbstkosten!O106*$D$6</f>
        <v/>
      </c>
      <c r="AC106" s="28">
        <f>SUM(Q106:AB106)</f>
        <v/>
      </c>
      <c r="AD106" s="77">
        <f>P106+AC106</f>
        <v/>
      </c>
    </row>
    <row r="107">
      <c r="A107" s="71">
        <f>Stammdaten!A107</f>
        <v/>
      </c>
      <c r="B107" s="72">
        <f>Stammdaten!B107</f>
        <v/>
      </c>
      <c r="C107" s="72">
        <f>Stammdaten!C107</f>
        <v/>
      </c>
      <c r="D107" s="40">
        <f>Selbstkosten!D107*$D$5</f>
        <v/>
      </c>
      <c r="E107" s="40">
        <f>Selbstkosten!E107*$D$5</f>
        <v/>
      </c>
      <c r="F107" s="40">
        <f>Selbstkosten!F107*$D$5</f>
        <v/>
      </c>
      <c r="G107" s="40">
        <f>Selbstkosten!G107*$D$5</f>
        <v/>
      </c>
      <c r="H107" s="40">
        <f>Selbstkosten!H107*$D$5</f>
        <v/>
      </c>
      <c r="I107" s="40">
        <f>Selbstkosten!I107*$D$5</f>
        <v/>
      </c>
      <c r="J107" s="40">
        <f>Selbstkosten!J107*$D$5</f>
        <v/>
      </c>
      <c r="K107" s="40">
        <f>Selbstkosten!K107*$D$5</f>
        <v/>
      </c>
      <c r="L107" s="40">
        <f>Selbstkosten!L107*$D$5</f>
        <v/>
      </c>
      <c r="M107" s="40">
        <f>Selbstkosten!M107*$D$5</f>
        <v/>
      </c>
      <c r="N107" s="40">
        <f>Selbstkosten!N107*$D$5</f>
        <v/>
      </c>
      <c r="O107" s="40">
        <f>Selbstkosten!O107*$D$5</f>
        <v/>
      </c>
      <c r="P107" s="28">
        <f>SUM(D107:O107)</f>
        <v/>
      </c>
      <c r="Q107" s="40">
        <f>Selbstkosten!D107*$D$6</f>
        <v/>
      </c>
      <c r="R107" s="40">
        <f>Selbstkosten!E107*$D$6</f>
        <v/>
      </c>
      <c r="S107" s="40">
        <f>Selbstkosten!F107*$D$6</f>
        <v/>
      </c>
      <c r="T107" s="40">
        <f>Selbstkosten!G107*$D$6</f>
        <v/>
      </c>
      <c r="U107" s="40">
        <f>Selbstkosten!H107*$D$6</f>
        <v/>
      </c>
      <c r="V107" s="40">
        <f>Selbstkosten!I107*$D$6</f>
        <v/>
      </c>
      <c r="W107" s="40">
        <f>Selbstkosten!J107*$D$6</f>
        <v/>
      </c>
      <c r="X107" s="40">
        <f>Selbstkosten!K107*$D$6</f>
        <v/>
      </c>
      <c r="Y107" s="40">
        <f>Selbstkosten!L107*$D$6</f>
        <v/>
      </c>
      <c r="Z107" s="40">
        <f>Selbstkosten!M107*$D$6</f>
        <v/>
      </c>
      <c r="AA107" s="40">
        <f>Selbstkosten!N107*$D$6</f>
        <v/>
      </c>
      <c r="AB107" s="40">
        <f>Selbstkosten!O107*$D$6</f>
        <v/>
      </c>
      <c r="AC107" s="28">
        <f>SUM(Q107:AB107)</f>
        <v/>
      </c>
      <c r="AD107" s="77">
        <f>P107+AC107</f>
        <v/>
      </c>
    </row>
    <row r="108">
      <c r="A108" s="71">
        <f>Stammdaten!A108</f>
        <v/>
      </c>
      <c r="B108" s="72">
        <f>Stammdaten!B108</f>
        <v/>
      </c>
      <c r="C108" s="72">
        <f>Stammdaten!C108</f>
        <v/>
      </c>
      <c r="D108" s="40">
        <f>Selbstkosten!D108*$D$5</f>
        <v/>
      </c>
      <c r="E108" s="40">
        <f>Selbstkosten!E108*$D$5</f>
        <v/>
      </c>
      <c r="F108" s="40">
        <f>Selbstkosten!F108*$D$5</f>
        <v/>
      </c>
      <c r="G108" s="40">
        <f>Selbstkosten!G108*$D$5</f>
        <v/>
      </c>
      <c r="H108" s="40">
        <f>Selbstkosten!H108*$D$5</f>
        <v/>
      </c>
      <c r="I108" s="40">
        <f>Selbstkosten!I108*$D$5</f>
        <v/>
      </c>
      <c r="J108" s="40">
        <f>Selbstkosten!J108*$D$5</f>
        <v/>
      </c>
      <c r="K108" s="40">
        <f>Selbstkosten!K108*$D$5</f>
        <v/>
      </c>
      <c r="L108" s="40">
        <f>Selbstkosten!L108*$D$5</f>
        <v/>
      </c>
      <c r="M108" s="40">
        <f>Selbstkosten!M108*$D$5</f>
        <v/>
      </c>
      <c r="N108" s="40">
        <f>Selbstkosten!N108*$D$5</f>
        <v/>
      </c>
      <c r="O108" s="40">
        <f>Selbstkosten!O108*$D$5</f>
        <v/>
      </c>
      <c r="P108" s="28">
        <f>SUM(D108:O108)</f>
        <v/>
      </c>
      <c r="Q108" s="40">
        <f>Selbstkosten!D108*$D$6</f>
        <v/>
      </c>
      <c r="R108" s="40">
        <f>Selbstkosten!E108*$D$6</f>
        <v/>
      </c>
      <c r="S108" s="40">
        <f>Selbstkosten!F108*$D$6</f>
        <v/>
      </c>
      <c r="T108" s="40">
        <f>Selbstkosten!G108*$D$6</f>
        <v/>
      </c>
      <c r="U108" s="40">
        <f>Selbstkosten!H108*$D$6</f>
        <v/>
      </c>
      <c r="V108" s="40">
        <f>Selbstkosten!I108*$D$6</f>
        <v/>
      </c>
      <c r="W108" s="40">
        <f>Selbstkosten!J108*$D$6</f>
        <v/>
      </c>
      <c r="X108" s="40">
        <f>Selbstkosten!K108*$D$6</f>
        <v/>
      </c>
      <c r="Y108" s="40">
        <f>Selbstkosten!L108*$D$6</f>
        <v/>
      </c>
      <c r="Z108" s="40">
        <f>Selbstkosten!M108*$D$6</f>
        <v/>
      </c>
      <c r="AA108" s="40">
        <f>Selbstkosten!N108*$D$6</f>
        <v/>
      </c>
      <c r="AB108" s="40">
        <f>Selbstkosten!O108*$D$6</f>
        <v/>
      </c>
      <c r="AC108" s="28">
        <f>SUM(Q108:AB108)</f>
        <v/>
      </c>
      <c r="AD108" s="77">
        <f>P108+AC108</f>
        <v/>
      </c>
    </row>
  </sheetData>
  <mergeCells count="6">
    <mergeCell ref="A5:C5"/>
    <mergeCell ref="A6:C6"/>
    <mergeCell ref="A2:AD2"/>
    <mergeCell ref="Q7:AC7"/>
    <mergeCell ref="D7:P7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D46"/>
    <outlinePr summaryBelow="1" summaryRight="1"/>
    <pageSetUpPr/>
  </sheetPr>
  <dimension ref="A1:T108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outlineLevel="1" width="10" customWidth="1" min="4" max="4"/>
    <col outlineLevel="1" width="10" customWidth="1" min="5" max="5"/>
    <col outlineLevel="1" width="10" customWidth="1" min="6" max="6"/>
    <col outlineLevel="1" width="10" customWidth="1" min="7" max="7"/>
    <col outlineLevel="1" width="10" customWidth="1" min="8" max="8"/>
    <col outlineLevel="1" width="10" customWidth="1" min="9" max="9"/>
    <col outlineLevel="1" width="10" customWidth="1" min="10" max="10"/>
    <col outlineLevel="1" width="10" customWidth="1" min="11" max="11"/>
    <col outlineLevel="1" width="10" customWidth="1" min="12" max="12"/>
    <col outlineLevel="1" width="10" customWidth="1" min="13" max="13"/>
    <col outlineLevel="1" width="10" customWidth="1" min="14" max="14"/>
    <col outlineLevel="1" width="10" customWidth="1" min="15" max="15"/>
    <col width="14" customWidth="1" min="16" max="16"/>
    <col width="14" customWidth="1" min="17" max="17"/>
    <col width="11" customWidth="1" min="18" max="18"/>
    <col width="10" customWidth="1" min="19" max="19"/>
    <col width="10" customWidth="1" min="20" max="20"/>
  </cols>
  <sheetData>
    <row r="1" ht="26" customHeight="1">
      <c r="A1" s="1" t="inlineStr">
        <is>
          <t>DB1-BERECHNUNG — Deckungsbeitrag 1 je Mitarbeiter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5" customHeight="1">
      <c r="A2" s="3" t="inlineStr">
        <is>
          <t>DB1 = Verrechnung − Selbstkosten − Rückstellung Urlaubsgeld − Rückstellung Weihnachtsgeld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6" customHeight="1"/>
    <row r="4" ht="14" customHeight="1">
      <c r="A4" s="66" t="inlineStr">
        <is>
          <t xml:space="preserve"> Verknüpfung</t>
        </is>
      </c>
      <c r="D4" s="67" t="inlineStr">
        <is>
          <t xml:space="preserve"> Formel (auto-berechnet)</t>
        </is>
      </c>
      <c r="G4" s="78" t="inlineStr">
        <is>
          <t xml:space="preserve"> DB1 negativ</t>
        </is>
      </c>
      <c r="J4" s="79" t="inlineStr">
        <is>
          <t xml:space="preserve"> DB1 stark positiv</t>
        </is>
      </c>
    </row>
    <row r="8" ht="30" customHeight="1">
      <c r="A8" s="49" t="inlineStr">
        <is>
          <t>ID</t>
        </is>
      </c>
      <c r="B8" s="49" t="inlineStr">
        <is>
          <t>Kunde</t>
        </is>
      </c>
      <c r="C8" s="49" t="inlineStr">
        <is>
          <t>Mitarbeiter</t>
        </is>
      </c>
      <c r="D8" s="49" t="inlineStr">
        <is>
          <t>Jan</t>
        </is>
      </c>
      <c r="E8" s="49" t="inlineStr">
        <is>
          <t>Feb</t>
        </is>
      </c>
      <c r="F8" s="49" t="inlineStr">
        <is>
          <t>Mär</t>
        </is>
      </c>
      <c r="G8" s="49" t="inlineStr">
        <is>
          <t>Apr</t>
        </is>
      </c>
      <c r="H8" s="49" t="inlineStr">
        <is>
          <t>Mai</t>
        </is>
      </c>
      <c r="I8" s="49" t="inlineStr">
        <is>
          <t>Jun</t>
        </is>
      </c>
      <c r="J8" s="49" t="inlineStr">
        <is>
          <t>Jul</t>
        </is>
      </c>
      <c r="K8" s="49" t="inlineStr">
        <is>
          <t>Aug</t>
        </is>
      </c>
      <c r="L8" s="49" t="inlineStr">
        <is>
          <t>Sep</t>
        </is>
      </c>
      <c r="M8" s="49" t="inlineStr">
        <is>
          <t>Okt</t>
        </is>
      </c>
      <c r="N8" s="49" t="inlineStr">
        <is>
          <t>Nov</t>
        </is>
      </c>
      <c r="O8" s="49" t="inlineStr">
        <is>
          <t>Dez</t>
        </is>
      </c>
      <c r="P8" s="49" t="inlineStr">
        <is>
          <t>Summe DB1
Jahr</t>
        </is>
      </c>
      <c r="Q8" s="49" t="inlineStr">
        <is>
          <t>Verrechnung
Jahr</t>
        </is>
      </c>
      <c r="R8" s="49" t="inlineStr">
        <is>
          <t>DB1-Marge
%</t>
        </is>
      </c>
      <c r="S8" s="49" t="inlineStr">
        <is>
          <t>Rang
(bester DB1)</t>
        </is>
      </c>
      <c r="T8" s="49" t="inlineStr">
        <is>
          <t>Rang
(Verlust)</t>
        </is>
      </c>
    </row>
    <row r="9">
      <c r="A9" s="68">
        <f>Stammdaten!A9</f>
        <v/>
      </c>
      <c r="B9" s="69">
        <f>Stammdaten!B9</f>
        <v/>
      </c>
      <c r="C9" s="69">
        <f>Stammdaten!C9</f>
        <v/>
      </c>
      <c r="D9" s="40">
        <f>Verrechnung!D9-Selbstkosten!D9-Rückstellungen!D9-Rückstellungen!Q9</f>
        <v/>
      </c>
      <c r="E9" s="40">
        <f>Verrechnung!E9-Selbstkosten!E9-Rückstellungen!E9-Rückstellungen!R9</f>
        <v/>
      </c>
      <c r="F9" s="40">
        <f>Verrechnung!F9-Selbstkosten!F9-Rückstellungen!F9-Rückstellungen!S9</f>
        <v/>
      </c>
      <c r="G9" s="40">
        <f>Verrechnung!G9-Selbstkosten!G9-Rückstellungen!G9-Rückstellungen!T9</f>
        <v/>
      </c>
      <c r="H9" s="40">
        <f>Verrechnung!H9-Selbstkosten!H9-Rückstellungen!H9-Rückstellungen!U9</f>
        <v/>
      </c>
      <c r="I9" s="40">
        <f>Verrechnung!I9-Selbstkosten!I9-Rückstellungen!I9-Rückstellungen!V9</f>
        <v/>
      </c>
      <c r="J9" s="40">
        <f>Verrechnung!J9-Selbstkosten!J9-Rückstellungen!J9-Rückstellungen!W9</f>
        <v/>
      </c>
      <c r="K9" s="40">
        <f>Verrechnung!K9-Selbstkosten!K9-Rückstellungen!K9-Rückstellungen!X9</f>
        <v/>
      </c>
      <c r="L9" s="40">
        <f>Verrechnung!L9-Selbstkosten!L9-Rückstellungen!L9-Rückstellungen!Y9</f>
        <v/>
      </c>
      <c r="M9" s="40">
        <f>Verrechnung!M9-Selbstkosten!M9-Rückstellungen!M9-Rückstellungen!Z9</f>
        <v/>
      </c>
      <c r="N9" s="40">
        <f>Verrechnung!N9-Selbstkosten!N9-Rückstellungen!N9-Rückstellungen!AA9</f>
        <v/>
      </c>
      <c r="O9" s="40">
        <f>Verrechnung!O9-Selbstkosten!O9-Rückstellungen!O9-Rückstellungen!AB9</f>
        <v/>
      </c>
      <c r="P9" s="28">
        <f>SUM(D9:O9)</f>
        <v/>
      </c>
      <c r="Q9" s="80">
        <f>Verrechnung!P9</f>
        <v/>
      </c>
      <c r="R9" s="29">
        <f>IFERROR(P9/Q9,0)</f>
        <v/>
      </c>
      <c r="S9" s="81">
        <f>RANK(P9,$P$9:$P$108,0)</f>
        <v/>
      </c>
      <c r="T9" s="82">
        <f>IF(P9&lt;0,RANK(P9,$P$9:$P$108,1),"")</f>
        <v/>
      </c>
    </row>
    <row r="10">
      <c r="A10" s="68">
        <f>Stammdaten!A10</f>
        <v/>
      </c>
      <c r="B10" s="69">
        <f>Stammdaten!B10</f>
        <v/>
      </c>
      <c r="C10" s="69">
        <f>Stammdaten!C10</f>
        <v/>
      </c>
      <c r="D10" s="40">
        <f>Verrechnung!D10-Selbstkosten!D10-Rückstellungen!D10-Rückstellungen!Q10</f>
        <v/>
      </c>
      <c r="E10" s="40">
        <f>Verrechnung!E10-Selbstkosten!E10-Rückstellungen!E10-Rückstellungen!R10</f>
        <v/>
      </c>
      <c r="F10" s="40">
        <f>Verrechnung!F10-Selbstkosten!F10-Rückstellungen!F10-Rückstellungen!S10</f>
        <v/>
      </c>
      <c r="G10" s="40">
        <f>Verrechnung!G10-Selbstkosten!G10-Rückstellungen!G10-Rückstellungen!T10</f>
        <v/>
      </c>
      <c r="H10" s="40">
        <f>Verrechnung!H10-Selbstkosten!H10-Rückstellungen!H10-Rückstellungen!U10</f>
        <v/>
      </c>
      <c r="I10" s="40">
        <f>Verrechnung!I10-Selbstkosten!I10-Rückstellungen!I10-Rückstellungen!V10</f>
        <v/>
      </c>
      <c r="J10" s="40">
        <f>Verrechnung!J10-Selbstkosten!J10-Rückstellungen!J10-Rückstellungen!W10</f>
        <v/>
      </c>
      <c r="K10" s="40">
        <f>Verrechnung!K10-Selbstkosten!K10-Rückstellungen!K10-Rückstellungen!X10</f>
        <v/>
      </c>
      <c r="L10" s="40">
        <f>Verrechnung!L10-Selbstkosten!L10-Rückstellungen!L10-Rückstellungen!Y10</f>
        <v/>
      </c>
      <c r="M10" s="40">
        <f>Verrechnung!M10-Selbstkosten!M10-Rückstellungen!M10-Rückstellungen!Z10</f>
        <v/>
      </c>
      <c r="N10" s="40">
        <f>Verrechnung!N10-Selbstkosten!N10-Rückstellungen!N10-Rückstellungen!AA10</f>
        <v/>
      </c>
      <c r="O10" s="40">
        <f>Verrechnung!O10-Selbstkosten!O10-Rückstellungen!O10-Rückstellungen!AB10</f>
        <v/>
      </c>
      <c r="P10" s="28">
        <f>SUM(D10:O10)</f>
        <v/>
      </c>
      <c r="Q10" s="80">
        <f>Verrechnung!P10</f>
        <v/>
      </c>
      <c r="R10" s="29">
        <f>IFERROR(P10/Q10,0)</f>
        <v/>
      </c>
      <c r="S10" s="81">
        <f>RANK(P10,$P$9:$P$108,0)</f>
        <v/>
      </c>
      <c r="T10" s="82">
        <f>IF(P10&lt;0,RANK(P10,$P$9:$P$108,1),"")</f>
        <v/>
      </c>
    </row>
    <row r="11">
      <c r="A11" s="68">
        <f>Stammdaten!A11</f>
        <v/>
      </c>
      <c r="B11" s="69">
        <f>Stammdaten!B11</f>
        <v/>
      </c>
      <c r="C11" s="69">
        <f>Stammdaten!C11</f>
        <v/>
      </c>
      <c r="D11" s="40">
        <f>Verrechnung!D11-Selbstkosten!D11-Rückstellungen!D11-Rückstellungen!Q11</f>
        <v/>
      </c>
      <c r="E11" s="40">
        <f>Verrechnung!E11-Selbstkosten!E11-Rückstellungen!E11-Rückstellungen!R11</f>
        <v/>
      </c>
      <c r="F11" s="40">
        <f>Verrechnung!F11-Selbstkosten!F11-Rückstellungen!F11-Rückstellungen!S11</f>
        <v/>
      </c>
      <c r="G11" s="40">
        <f>Verrechnung!G11-Selbstkosten!G11-Rückstellungen!G11-Rückstellungen!T11</f>
        <v/>
      </c>
      <c r="H11" s="40">
        <f>Verrechnung!H11-Selbstkosten!H11-Rückstellungen!H11-Rückstellungen!U11</f>
        <v/>
      </c>
      <c r="I11" s="40">
        <f>Verrechnung!I11-Selbstkosten!I11-Rückstellungen!I11-Rückstellungen!V11</f>
        <v/>
      </c>
      <c r="J11" s="40">
        <f>Verrechnung!J11-Selbstkosten!J11-Rückstellungen!J11-Rückstellungen!W11</f>
        <v/>
      </c>
      <c r="K11" s="40">
        <f>Verrechnung!K11-Selbstkosten!K11-Rückstellungen!K11-Rückstellungen!X11</f>
        <v/>
      </c>
      <c r="L11" s="40">
        <f>Verrechnung!L11-Selbstkosten!L11-Rückstellungen!L11-Rückstellungen!Y11</f>
        <v/>
      </c>
      <c r="M11" s="40">
        <f>Verrechnung!M11-Selbstkosten!M11-Rückstellungen!M11-Rückstellungen!Z11</f>
        <v/>
      </c>
      <c r="N11" s="40">
        <f>Verrechnung!N11-Selbstkosten!N11-Rückstellungen!N11-Rückstellungen!AA11</f>
        <v/>
      </c>
      <c r="O11" s="40">
        <f>Verrechnung!O11-Selbstkosten!O11-Rückstellungen!O11-Rückstellungen!AB11</f>
        <v/>
      </c>
      <c r="P11" s="28">
        <f>SUM(D11:O11)</f>
        <v/>
      </c>
      <c r="Q11" s="80">
        <f>Verrechnung!P11</f>
        <v/>
      </c>
      <c r="R11" s="29">
        <f>IFERROR(P11/Q11,0)</f>
        <v/>
      </c>
      <c r="S11" s="81">
        <f>RANK(P11,$P$9:$P$108,0)</f>
        <v/>
      </c>
      <c r="T11" s="82">
        <f>IF(P11&lt;0,RANK(P11,$P$9:$P$108,1),"")</f>
        <v/>
      </c>
    </row>
    <row r="12">
      <c r="A12" s="68">
        <f>Stammdaten!A12</f>
        <v/>
      </c>
      <c r="B12" s="69">
        <f>Stammdaten!B12</f>
        <v/>
      </c>
      <c r="C12" s="69">
        <f>Stammdaten!C12</f>
        <v/>
      </c>
      <c r="D12" s="40">
        <f>Verrechnung!D12-Selbstkosten!D12-Rückstellungen!D12-Rückstellungen!Q12</f>
        <v/>
      </c>
      <c r="E12" s="40">
        <f>Verrechnung!E12-Selbstkosten!E12-Rückstellungen!E12-Rückstellungen!R12</f>
        <v/>
      </c>
      <c r="F12" s="40">
        <f>Verrechnung!F12-Selbstkosten!F12-Rückstellungen!F12-Rückstellungen!S12</f>
        <v/>
      </c>
      <c r="G12" s="40">
        <f>Verrechnung!G12-Selbstkosten!G12-Rückstellungen!G12-Rückstellungen!T12</f>
        <v/>
      </c>
      <c r="H12" s="40">
        <f>Verrechnung!H12-Selbstkosten!H12-Rückstellungen!H12-Rückstellungen!U12</f>
        <v/>
      </c>
      <c r="I12" s="40">
        <f>Verrechnung!I12-Selbstkosten!I12-Rückstellungen!I12-Rückstellungen!V12</f>
        <v/>
      </c>
      <c r="J12" s="40">
        <f>Verrechnung!J12-Selbstkosten!J12-Rückstellungen!J12-Rückstellungen!W12</f>
        <v/>
      </c>
      <c r="K12" s="40">
        <f>Verrechnung!K12-Selbstkosten!K12-Rückstellungen!K12-Rückstellungen!X12</f>
        <v/>
      </c>
      <c r="L12" s="40">
        <f>Verrechnung!L12-Selbstkosten!L12-Rückstellungen!L12-Rückstellungen!Y12</f>
        <v/>
      </c>
      <c r="M12" s="40">
        <f>Verrechnung!M12-Selbstkosten!M12-Rückstellungen!M12-Rückstellungen!Z12</f>
        <v/>
      </c>
      <c r="N12" s="40">
        <f>Verrechnung!N12-Selbstkosten!N12-Rückstellungen!N12-Rückstellungen!AA12</f>
        <v/>
      </c>
      <c r="O12" s="40">
        <f>Verrechnung!O12-Selbstkosten!O12-Rückstellungen!O12-Rückstellungen!AB12</f>
        <v/>
      </c>
      <c r="P12" s="28">
        <f>SUM(D12:O12)</f>
        <v/>
      </c>
      <c r="Q12" s="80">
        <f>Verrechnung!P12</f>
        <v/>
      </c>
      <c r="R12" s="29">
        <f>IFERROR(P12/Q12,0)</f>
        <v/>
      </c>
      <c r="S12" s="81">
        <f>RANK(P12,$P$9:$P$108,0)</f>
        <v/>
      </c>
      <c r="T12" s="82">
        <f>IF(P12&lt;0,RANK(P12,$P$9:$P$108,1),"")</f>
        <v/>
      </c>
    </row>
    <row r="13">
      <c r="A13" s="68">
        <f>Stammdaten!A13</f>
        <v/>
      </c>
      <c r="B13" s="69">
        <f>Stammdaten!B13</f>
        <v/>
      </c>
      <c r="C13" s="69">
        <f>Stammdaten!C13</f>
        <v/>
      </c>
      <c r="D13" s="40">
        <f>Verrechnung!D13-Selbstkosten!D13-Rückstellungen!D13-Rückstellungen!Q13</f>
        <v/>
      </c>
      <c r="E13" s="40">
        <f>Verrechnung!E13-Selbstkosten!E13-Rückstellungen!E13-Rückstellungen!R13</f>
        <v/>
      </c>
      <c r="F13" s="40">
        <f>Verrechnung!F13-Selbstkosten!F13-Rückstellungen!F13-Rückstellungen!S13</f>
        <v/>
      </c>
      <c r="G13" s="40">
        <f>Verrechnung!G13-Selbstkosten!G13-Rückstellungen!G13-Rückstellungen!T13</f>
        <v/>
      </c>
      <c r="H13" s="40">
        <f>Verrechnung!H13-Selbstkosten!H13-Rückstellungen!H13-Rückstellungen!U13</f>
        <v/>
      </c>
      <c r="I13" s="40">
        <f>Verrechnung!I13-Selbstkosten!I13-Rückstellungen!I13-Rückstellungen!V13</f>
        <v/>
      </c>
      <c r="J13" s="40">
        <f>Verrechnung!J13-Selbstkosten!J13-Rückstellungen!J13-Rückstellungen!W13</f>
        <v/>
      </c>
      <c r="K13" s="40">
        <f>Verrechnung!K13-Selbstkosten!K13-Rückstellungen!K13-Rückstellungen!X13</f>
        <v/>
      </c>
      <c r="L13" s="40">
        <f>Verrechnung!L13-Selbstkosten!L13-Rückstellungen!L13-Rückstellungen!Y13</f>
        <v/>
      </c>
      <c r="M13" s="40">
        <f>Verrechnung!M13-Selbstkosten!M13-Rückstellungen!M13-Rückstellungen!Z13</f>
        <v/>
      </c>
      <c r="N13" s="40">
        <f>Verrechnung!N13-Selbstkosten!N13-Rückstellungen!N13-Rückstellungen!AA13</f>
        <v/>
      </c>
      <c r="O13" s="40">
        <f>Verrechnung!O13-Selbstkosten!O13-Rückstellungen!O13-Rückstellungen!AB13</f>
        <v/>
      </c>
      <c r="P13" s="28">
        <f>SUM(D13:O13)</f>
        <v/>
      </c>
      <c r="Q13" s="80">
        <f>Verrechnung!P13</f>
        <v/>
      </c>
      <c r="R13" s="29">
        <f>IFERROR(P13/Q13,0)</f>
        <v/>
      </c>
      <c r="S13" s="81">
        <f>RANK(P13,$P$9:$P$108,0)</f>
        <v/>
      </c>
      <c r="T13" s="82">
        <f>IF(P13&lt;0,RANK(P13,$P$9:$P$108,1),"")</f>
        <v/>
      </c>
    </row>
    <row r="14">
      <c r="A14" s="68">
        <f>Stammdaten!A14</f>
        <v/>
      </c>
      <c r="B14" s="69">
        <f>Stammdaten!B14</f>
        <v/>
      </c>
      <c r="C14" s="69">
        <f>Stammdaten!C14</f>
        <v/>
      </c>
      <c r="D14" s="40">
        <f>Verrechnung!D14-Selbstkosten!D14-Rückstellungen!D14-Rückstellungen!Q14</f>
        <v/>
      </c>
      <c r="E14" s="40">
        <f>Verrechnung!E14-Selbstkosten!E14-Rückstellungen!E14-Rückstellungen!R14</f>
        <v/>
      </c>
      <c r="F14" s="40">
        <f>Verrechnung!F14-Selbstkosten!F14-Rückstellungen!F14-Rückstellungen!S14</f>
        <v/>
      </c>
      <c r="G14" s="40">
        <f>Verrechnung!G14-Selbstkosten!G14-Rückstellungen!G14-Rückstellungen!T14</f>
        <v/>
      </c>
      <c r="H14" s="40">
        <f>Verrechnung!H14-Selbstkosten!H14-Rückstellungen!H14-Rückstellungen!U14</f>
        <v/>
      </c>
      <c r="I14" s="40">
        <f>Verrechnung!I14-Selbstkosten!I14-Rückstellungen!I14-Rückstellungen!V14</f>
        <v/>
      </c>
      <c r="J14" s="40">
        <f>Verrechnung!J14-Selbstkosten!J14-Rückstellungen!J14-Rückstellungen!W14</f>
        <v/>
      </c>
      <c r="K14" s="40">
        <f>Verrechnung!K14-Selbstkosten!K14-Rückstellungen!K14-Rückstellungen!X14</f>
        <v/>
      </c>
      <c r="L14" s="40">
        <f>Verrechnung!L14-Selbstkosten!L14-Rückstellungen!L14-Rückstellungen!Y14</f>
        <v/>
      </c>
      <c r="M14" s="40">
        <f>Verrechnung!M14-Selbstkosten!M14-Rückstellungen!M14-Rückstellungen!Z14</f>
        <v/>
      </c>
      <c r="N14" s="40">
        <f>Verrechnung!N14-Selbstkosten!N14-Rückstellungen!N14-Rückstellungen!AA14</f>
        <v/>
      </c>
      <c r="O14" s="40">
        <f>Verrechnung!O14-Selbstkosten!O14-Rückstellungen!O14-Rückstellungen!AB14</f>
        <v/>
      </c>
      <c r="P14" s="28">
        <f>SUM(D14:O14)</f>
        <v/>
      </c>
      <c r="Q14" s="80">
        <f>Verrechnung!P14</f>
        <v/>
      </c>
      <c r="R14" s="29">
        <f>IFERROR(P14/Q14,0)</f>
        <v/>
      </c>
      <c r="S14" s="81">
        <f>RANK(P14,$P$9:$P$108,0)</f>
        <v/>
      </c>
      <c r="T14" s="82">
        <f>IF(P14&lt;0,RANK(P14,$P$9:$P$108,1),"")</f>
        <v/>
      </c>
    </row>
    <row r="15">
      <c r="A15" s="68">
        <f>Stammdaten!A15</f>
        <v/>
      </c>
      <c r="B15" s="69">
        <f>Stammdaten!B15</f>
        <v/>
      </c>
      <c r="C15" s="69">
        <f>Stammdaten!C15</f>
        <v/>
      </c>
      <c r="D15" s="40">
        <f>Verrechnung!D15-Selbstkosten!D15-Rückstellungen!D15-Rückstellungen!Q15</f>
        <v/>
      </c>
      <c r="E15" s="40">
        <f>Verrechnung!E15-Selbstkosten!E15-Rückstellungen!E15-Rückstellungen!R15</f>
        <v/>
      </c>
      <c r="F15" s="40">
        <f>Verrechnung!F15-Selbstkosten!F15-Rückstellungen!F15-Rückstellungen!S15</f>
        <v/>
      </c>
      <c r="G15" s="40">
        <f>Verrechnung!G15-Selbstkosten!G15-Rückstellungen!G15-Rückstellungen!T15</f>
        <v/>
      </c>
      <c r="H15" s="40">
        <f>Verrechnung!H15-Selbstkosten!H15-Rückstellungen!H15-Rückstellungen!U15</f>
        <v/>
      </c>
      <c r="I15" s="40">
        <f>Verrechnung!I15-Selbstkosten!I15-Rückstellungen!I15-Rückstellungen!V15</f>
        <v/>
      </c>
      <c r="J15" s="40">
        <f>Verrechnung!J15-Selbstkosten!J15-Rückstellungen!J15-Rückstellungen!W15</f>
        <v/>
      </c>
      <c r="K15" s="40">
        <f>Verrechnung!K15-Selbstkosten!K15-Rückstellungen!K15-Rückstellungen!X15</f>
        <v/>
      </c>
      <c r="L15" s="40">
        <f>Verrechnung!L15-Selbstkosten!L15-Rückstellungen!L15-Rückstellungen!Y15</f>
        <v/>
      </c>
      <c r="M15" s="40">
        <f>Verrechnung!M15-Selbstkosten!M15-Rückstellungen!M15-Rückstellungen!Z15</f>
        <v/>
      </c>
      <c r="N15" s="40">
        <f>Verrechnung!N15-Selbstkosten!N15-Rückstellungen!N15-Rückstellungen!AA15</f>
        <v/>
      </c>
      <c r="O15" s="40">
        <f>Verrechnung!O15-Selbstkosten!O15-Rückstellungen!O15-Rückstellungen!AB15</f>
        <v/>
      </c>
      <c r="P15" s="28">
        <f>SUM(D15:O15)</f>
        <v/>
      </c>
      <c r="Q15" s="80">
        <f>Verrechnung!P15</f>
        <v/>
      </c>
      <c r="R15" s="29">
        <f>IFERROR(P15/Q15,0)</f>
        <v/>
      </c>
      <c r="S15" s="81">
        <f>RANK(P15,$P$9:$P$108,0)</f>
        <v/>
      </c>
      <c r="T15" s="82">
        <f>IF(P15&lt;0,RANK(P15,$P$9:$P$108,1),"")</f>
        <v/>
      </c>
    </row>
    <row r="16">
      <c r="A16" s="68">
        <f>Stammdaten!A16</f>
        <v/>
      </c>
      <c r="B16" s="69">
        <f>Stammdaten!B16</f>
        <v/>
      </c>
      <c r="C16" s="69">
        <f>Stammdaten!C16</f>
        <v/>
      </c>
      <c r="D16" s="40">
        <f>Verrechnung!D16-Selbstkosten!D16-Rückstellungen!D16-Rückstellungen!Q16</f>
        <v/>
      </c>
      <c r="E16" s="40">
        <f>Verrechnung!E16-Selbstkosten!E16-Rückstellungen!E16-Rückstellungen!R16</f>
        <v/>
      </c>
      <c r="F16" s="40">
        <f>Verrechnung!F16-Selbstkosten!F16-Rückstellungen!F16-Rückstellungen!S16</f>
        <v/>
      </c>
      <c r="G16" s="40">
        <f>Verrechnung!G16-Selbstkosten!G16-Rückstellungen!G16-Rückstellungen!T16</f>
        <v/>
      </c>
      <c r="H16" s="40">
        <f>Verrechnung!H16-Selbstkosten!H16-Rückstellungen!H16-Rückstellungen!U16</f>
        <v/>
      </c>
      <c r="I16" s="40">
        <f>Verrechnung!I16-Selbstkosten!I16-Rückstellungen!I16-Rückstellungen!V16</f>
        <v/>
      </c>
      <c r="J16" s="40">
        <f>Verrechnung!J16-Selbstkosten!J16-Rückstellungen!J16-Rückstellungen!W16</f>
        <v/>
      </c>
      <c r="K16" s="40">
        <f>Verrechnung!K16-Selbstkosten!K16-Rückstellungen!K16-Rückstellungen!X16</f>
        <v/>
      </c>
      <c r="L16" s="40">
        <f>Verrechnung!L16-Selbstkosten!L16-Rückstellungen!L16-Rückstellungen!Y16</f>
        <v/>
      </c>
      <c r="M16" s="40">
        <f>Verrechnung!M16-Selbstkosten!M16-Rückstellungen!M16-Rückstellungen!Z16</f>
        <v/>
      </c>
      <c r="N16" s="40">
        <f>Verrechnung!N16-Selbstkosten!N16-Rückstellungen!N16-Rückstellungen!AA16</f>
        <v/>
      </c>
      <c r="O16" s="40">
        <f>Verrechnung!O16-Selbstkosten!O16-Rückstellungen!O16-Rückstellungen!AB16</f>
        <v/>
      </c>
      <c r="P16" s="28">
        <f>SUM(D16:O16)</f>
        <v/>
      </c>
      <c r="Q16" s="80">
        <f>Verrechnung!P16</f>
        <v/>
      </c>
      <c r="R16" s="29">
        <f>IFERROR(P16/Q16,0)</f>
        <v/>
      </c>
      <c r="S16" s="81">
        <f>RANK(P16,$P$9:$P$108,0)</f>
        <v/>
      </c>
      <c r="T16" s="82">
        <f>IF(P16&lt;0,RANK(P16,$P$9:$P$108,1),"")</f>
        <v/>
      </c>
    </row>
    <row r="17">
      <c r="A17" s="68">
        <f>Stammdaten!A17</f>
        <v/>
      </c>
      <c r="B17" s="69">
        <f>Stammdaten!B17</f>
        <v/>
      </c>
      <c r="C17" s="69">
        <f>Stammdaten!C17</f>
        <v/>
      </c>
      <c r="D17" s="40">
        <f>Verrechnung!D17-Selbstkosten!D17-Rückstellungen!D17-Rückstellungen!Q17</f>
        <v/>
      </c>
      <c r="E17" s="40">
        <f>Verrechnung!E17-Selbstkosten!E17-Rückstellungen!E17-Rückstellungen!R17</f>
        <v/>
      </c>
      <c r="F17" s="40">
        <f>Verrechnung!F17-Selbstkosten!F17-Rückstellungen!F17-Rückstellungen!S17</f>
        <v/>
      </c>
      <c r="G17" s="40">
        <f>Verrechnung!G17-Selbstkosten!G17-Rückstellungen!G17-Rückstellungen!T17</f>
        <v/>
      </c>
      <c r="H17" s="40">
        <f>Verrechnung!H17-Selbstkosten!H17-Rückstellungen!H17-Rückstellungen!U17</f>
        <v/>
      </c>
      <c r="I17" s="40">
        <f>Verrechnung!I17-Selbstkosten!I17-Rückstellungen!I17-Rückstellungen!V17</f>
        <v/>
      </c>
      <c r="J17" s="40">
        <f>Verrechnung!J17-Selbstkosten!J17-Rückstellungen!J17-Rückstellungen!W17</f>
        <v/>
      </c>
      <c r="K17" s="40">
        <f>Verrechnung!K17-Selbstkosten!K17-Rückstellungen!K17-Rückstellungen!X17</f>
        <v/>
      </c>
      <c r="L17" s="40">
        <f>Verrechnung!L17-Selbstkosten!L17-Rückstellungen!L17-Rückstellungen!Y17</f>
        <v/>
      </c>
      <c r="M17" s="40">
        <f>Verrechnung!M17-Selbstkosten!M17-Rückstellungen!M17-Rückstellungen!Z17</f>
        <v/>
      </c>
      <c r="N17" s="40">
        <f>Verrechnung!N17-Selbstkosten!N17-Rückstellungen!N17-Rückstellungen!AA17</f>
        <v/>
      </c>
      <c r="O17" s="40">
        <f>Verrechnung!O17-Selbstkosten!O17-Rückstellungen!O17-Rückstellungen!AB17</f>
        <v/>
      </c>
      <c r="P17" s="28">
        <f>SUM(D17:O17)</f>
        <v/>
      </c>
      <c r="Q17" s="80">
        <f>Verrechnung!P17</f>
        <v/>
      </c>
      <c r="R17" s="29">
        <f>IFERROR(P17/Q17,0)</f>
        <v/>
      </c>
      <c r="S17" s="81">
        <f>RANK(P17,$P$9:$P$108,0)</f>
        <v/>
      </c>
      <c r="T17" s="82">
        <f>IF(P17&lt;0,RANK(P17,$P$9:$P$108,1),"")</f>
        <v/>
      </c>
    </row>
    <row r="18">
      <c r="A18" s="68">
        <f>Stammdaten!A18</f>
        <v/>
      </c>
      <c r="B18" s="69">
        <f>Stammdaten!B18</f>
        <v/>
      </c>
      <c r="C18" s="69">
        <f>Stammdaten!C18</f>
        <v/>
      </c>
      <c r="D18" s="40">
        <f>Verrechnung!D18-Selbstkosten!D18-Rückstellungen!D18-Rückstellungen!Q18</f>
        <v/>
      </c>
      <c r="E18" s="40">
        <f>Verrechnung!E18-Selbstkosten!E18-Rückstellungen!E18-Rückstellungen!R18</f>
        <v/>
      </c>
      <c r="F18" s="40">
        <f>Verrechnung!F18-Selbstkosten!F18-Rückstellungen!F18-Rückstellungen!S18</f>
        <v/>
      </c>
      <c r="G18" s="40">
        <f>Verrechnung!G18-Selbstkosten!G18-Rückstellungen!G18-Rückstellungen!T18</f>
        <v/>
      </c>
      <c r="H18" s="40">
        <f>Verrechnung!H18-Selbstkosten!H18-Rückstellungen!H18-Rückstellungen!U18</f>
        <v/>
      </c>
      <c r="I18" s="40">
        <f>Verrechnung!I18-Selbstkosten!I18-Rückstellungen!I18-Rückstellungen!V18</f>
        <v/>
      </c>
      <c r="J18" s="40">
        <f>Verrechnung!J18-Selbstkosten!J18-Rückstellungen!J18-Rückstellungen!W18</f>
        <v/>
      </c>
      <c r="K18" s="40">
        <f>Verrechnung!K18-Selbstkosten!K18-Rückstellungen!K18-Rückstellungen!X18</f>
        <v/>
      </c>
      <c r="L18" s="40">
        <f>Verrechnung!L18-Selbstkosten!L18-Rückstellungen!L18-Rückstellungen!Y18</f>
        <v/>
      </c>
      <c r="M18" s="40">
        <f>Verrechnung!M18-Selbstkosten!M18-Rückstellungen!M18-Rückstellungen!Z18</f>
        <v/>
      </c>
      <c r="N18" s="40">
        <f>Verrechnung!N18-Selbstkosten!N18-Rückstellungen!N18-Rückstellungen!AA18</f>
        <v/>
      </c>
      <c r="O18" s="40">
        <f>Verrechnung!O18-Selbstkosten!O18-Rückstellungen!O18-Rückstellungen!AB18</f>
        <v/>
      </c>
      <c r="P18" s="28">
        <f>SUM(D18:O18)</f>
        <v/>
      </c>
      <c r="Q18" s="80">
        <f>Verrechnung!P18</f>
        <v/>
      </c>
      <c r="R18" s="29">
        <f>IFERROR(P18/Q18,0)</f>
        <v/>
      </c>
      <c r="S18" s="81">
        <f>RANK(P18,$P$9:$P$108,0)</f>
        <v/>
      </c>
      <c r="T18" s="82">
        <f>IF(P18&lt;0,RANK(P18,$P$9:$P$108,1),"")</f>
        <v/>
      </c>
    </row>
    <row r="19">
      <c r="A19" s="71">
        <f>Stammdaten!A19</f>
        <v/>
      </c>
      <c r="B19" s="72">
        <f>Stammdaten!B19</f>
        <v/>
      </c>
      <c r="C19" s="72">
        <f>Stammdaten!C19</f>
        <v/>
      </c>
      <c r="D19" s="40">
        <f>Verrechnung!D19-Selbstkosten!D19-Rückstellungen!D19-Rückstellungen!Q19</f>
        <v/>
      </c>
      <c r="E19" s="40">
        <f>Verrechnung!E19-Selbstkosten!E19-Rückstellungen!E19-Rückstellungen!R19</f>
        <v/>
      </c>
      <c r="F19" s="40">
        <f>Verrechnung!F19-Selbstkosten!F19-Rückstellungen!F19-Rückstellungen!S19</f>
        <v/>
      </c>
      <c r="G19" s="40">
        <f>Verrechnung!G19-Selbstkosten!G19-Rückstellungen!G19-Rückstellungen!T19</f>
        <v/>
      </c>
      <c r="H19" s="40">
        <f>Verrechnung!H19-Selbstkosten!H19-Rückstellungen!H19-Rückstellungen!U19</f>
        <v/>
      </c>
      <c r="I19" s="40">
        <f>Verrechnung!I19-Selbstkosten!I19-Rückstellungen!I19-Rückstellungen!V19</f>
        <v/>
      </c>
      <c r="J19" s="40">
        <f>Verrechnung!J19-Selbstkosten!J19-Rückstellungen!J19-Rückstellungen!W19</f>
        <v/>
      </c>
      <c r="K19" s="40">
        <f>Verrechnung!K19-Selbstkosten!K19-Rückstellungen!K19-Rückstellungen!X19</f>
        <v/>
      </c>
      <c r="L19" s="40">
        <f>Verrechnung!L19-Selbstkosten!L19-Rückstellungen!L19-Rückstellungen!Y19</f>
        <v/>
      </c>
      <c r="M19" s="40">
        <f>Verrechnung!M19-Selbstkosten!M19-Rückstellungen!M19-Rückstellungen!Z19</f>
        <v/>
      </c>
      <c r="N19" s="40">
        <f>Verrechnung!N19-Selbstkosten!N19-Rückstellungen!N19-Rückstellungen!AA19</f>
        <v/>
      </c>
      <c r="O19" s="40">
        <f>Verrechnung!O19-Selbstkosten!O19-Rückstellungen!O19-Rückstellungen!AB19</f>
        <v/>
      </c>
      <c r="P19" s="28">
        <f>SUM(D19:O19)</f>
        <v/>
      </c>
      <c r="Q19" s="80">
        <f>Verrechnung!P19</f>
        <v/>
      </c>
      <c r="R19" s="29">
        <f>IFERROR(P19/Q19,0)</f>
        <v/>
      </c>
      <c r="S19" s="81">
        <f>RANK(P19,$P$9:$P$108,0)</f>
        <v/>
      </c>
      <c r="T19" s="82">
        <f>IF(P19&lt;0,RANK(P19,$P$9:$P$108,1),"")</f>
        <v/>
      </c>
    </row>
    <row r="20">
      <c r="A20" s="71">
        <f>Stammdaten!A20</f>
        <v/>
      </c>
      <c r="B20" s="72">
        <f>Stammdaten!B20</f>
        <v/>
      </c>
      <c r="C20" s="72">
        <f>Stammdaten!C20</f>
        <v/>
      </c>
      <c r="D20" s="40">
        <f>Verrechnung!D20-Selbstkosten!D20-Rückstellungen!D20-Rückstellungen!Q20</f>
        <v/>
      </c>
      <c r="E20" s="40">
        <f>Verrechnung!E20-Selbstkosten!E20-Rückstellungen!E20-Rückstellungen!R20</f>
        <v/>
      </c>
      <c r="F20" s="40">
        <f>Verrechnung!F20-Selbstkosten!F20-Rückstellungen!F20-Rückstellungen!S20</f>
        <v/>
      </c>
      <c r="G20" s="40">
        <f>Verrechnung!G20-Selbstkosten!G20-Rückstellungen!G20-Rückstellungen!T20</f>
        <v/>
      </c>
      <c r="H20" s="40">
        <f>Verrechnung!H20-Selbstkosten!H20-Rückstellungen!H20-Rückstellungen!U20</f>
        <v/>
      </c>
      <c r="I20" s="40">
        <f>Verrechnung!I20-Selbstkosten!I20-Rückstellungen!I20-Rückstellungen!V20</f>
        <v/>
      </c>
      <c r="J20" s="40">
        <f>Verrechnung!J20-Selbstkosten!J20-Rückstellungen!J20-Rückstellungen!W20</f>
        <v/>
      </c>
      <c r="K20" s="40">
        <f>Verrechnung!K20-Selbstkosten!K20-Rückstellungen!K20-Rückstellungen!X20</f>
        <v/>
      </c>
      <c r="L20" s="40">
        <f>Verrechnung!L20-Selbstkosten!L20-Rückstellungen!L20-Rückstellungen!Y20</f>
        <v/>
      </c>
      <c r="M20" s="40">
        <f>Verrechnung!M20-Selbstkosten!M20-Rückstellungen!M20-Rückstellungen!Z20</f>
        <v/>
      </c>
      <c r="N20" s="40">
        <f>Verrechnung!N20-Selbstkosten!N20-Rückstellungen!N20-Rückstellungen!AA20</f>
        <v/>
      </c>
      <c r="O20" s="40">
        <f>Verrechnung!O20-Selbstkosten!O20-Rückstellungen!O20-Rückstellungen!AB20</f>
        <v/>
      </c>
      <c r="P20" s="28">
        <f>SUM(D20:O20)</f>
        <v/>
      </c>
      <c r="Q20" s="80">
        <f>Verrechnung!P20</f>
        <v/>
      </c>
      <c r="R20" s="29">
        <f>IFERROR(P20/Q20,0)</f>
        <v/>
      </c>
      <c r="S20" s="81">
        <f>RANK(P20,$P$9:$P$108,0)</f>
        <v/>
      </c>
      <c r="T20" s="82">
        <f>IF(P20&lt;0,RANK(P20,$P$9:$P$108,1),"")</f>
        <v/>
      </c>
    </row>
    <row r="21">
      <c r="A21" s="71">
        <f>Stammdaten!A21</f>
        <v/>
      </c>
      <c r="B21" s="72">
        <f>Stammdaten!B21</f>
        <v/>
      </c>
      <c r="C21" s="72">
        <f>Stammdaten!C21</f>
        <v/>
      </c>
      <c r="D21" s="40">
        <f>Verrechnung!D21-Selbstkosten!D21-Rückstellungen!D21-Rückstellungen!Q21</f>
        <v/>
      </c>
      <c r="E21" s="40">
        <f>Verrechnung!E21-Selbstkosten!E21-Rückstellungen!E21-Rückstellungen!R21</f>
        <v/>
      </c>
      <c r="F21" s="40">
        <f>Verrechnung!F21-Selbstkosten!F21-Rückstellungen!F21-Rückstellungen!S21</f>
        <v/>
      </c>
      <c r="G21" s="40">
        <f>Verrechnung!G21-Selbstkosten!G21-Rückstellungen!G21-Rückstellungen!T21</f>
        <v/>
      </c>
      <c r="H21" s="40">
        <f>Verrechnung!H21-Selbstkosten!H21-Rückstellungen!H21-Rückstellungen!U21</f>
        <v/>
      </c>
      <c r="I21" s="40">
        <f>Verrechnung!I21-Selbstkosten!I21-Rückstellungen!I21-Rückstellungen!V21</f>
        <v/>
      </c>
      <c r="J21" s="40">
        <f>Verrechnung!J21-Selbstkosten!J21-Rückstellungen!J21-Rückstellungen!W21</f>
        <v/>
      </c>
      <c r="K21" s="40">
        <f>Verrechnung!K21-Selbstkosten!K21-Rückstellungen!K21-Rückstellungen!X21</f>
        <v/>
      </c>
      <c r="L21" s="40">
        <f>Verrechnung!L21-Selbstkosten!L21-Rückstellungen!L21-Rückstellungen!Y21</f>
        <v/>
      </c>
      <c r="M21" s="40">
        <f>Verrechnung!M21-Selbstkosten!M21-Rückstellungen!M21-Rückstellungen!Z21</f>
        <v/>
      </c>
      <c r="N21" s="40">
        <f>Verrechnung!N21-Selbstkosten!N21-Rückstellungen!N21-Rückstellungen!AA21</f>
        <v/>
      </c>
      <c r="O21" s="40">
        <f>Verrechnung!O21-Selbstkosten!O21-Rückstellungen!O21-Rückstellungen!AB21</f>
        <v/>
      </c>
      <c r="P21" s="28">
        <f>SUM(D21:O21)</f>
        <v/>
      </c>
      <c r="Q21" s="80">
        <f>Verrechnung!P21</f>
        <v/>
      </c>
      <c r="R21" s="29">
        <f>IFERROR(P21/Q21,0)</f>
        <v/>
      </c>
      <c r="S21" s="81">
        <f>RANK(P21,$P$9:$P$108,0)</f>
        <v/>
      </c>
      <c r="T21" s="82">
        <f>IF(P21&lt;0,RANK(P21,$P$9:$P$108,1),"")</f>
        <v/>
      </c>
    </row>
    <row r="22">
      <c r="A22" s="71">
        <f>Stammdaten!A22</f>
        <v/>
      </c>
      <c r="B22" s="72">
        <f>Stammdaten!B22</f>
        <v/>
      </c>
      <c r="C22" s="72">
        <f>Stammdaten!C22</f>
        <v/>
      </c>
      <c r="D22" s="40">
        <f>Verrechnung!D22-Selbstkosten!D22-Rückstellungen!D22-Rückstellungen!Q22</f>
        <v/>
      </c>
      <c r="E22" s="40">
        <f>Verrechnung!E22-Selbstkosten!E22-Rückstellungen!E22-Rückstellungen!R22</f>
        <v/>
      </c>
      <c r="F22" s="40">
        <f>Verrechnung!F22-Selbstkosten!F22-Rückstellungen!F22-Rückstellungen!S22</f>
        <v/>
      </c>
      <c r="G22" s="40">
        <f>Verrechnung!G22-Selbstkosten!G22-Rückstellungen!G22-Rückstellungen!T22</f>
        <v/>
      </c>
      <c r="H22" s="40">
        <f>Verrechnung!H22-Selbstkosten!H22-Rückstellungen!H22-Rückstellungen!U22</f>
        <v/>
      </c>
      <c r="I22" s="40">
        <f>Verrechnung!I22-Selbstkosten!I22-Rückstellungen!I22-Rückstellungen!V22</f>
        <v/>
      </c>
      <c r="J22" s="40">
        <f>Verrechnung!J22-Selbstkosten!J22-Rückstellungen!J22-Rückstellungen!W22</f>
        <v/>
      </c>
      <c r="K22" s="40">
        <f>Verrechnung!K22-Selbstkosten!K22-Rückstellungen!K22-Rückstellungen!X22</f>
        <v/>
      </c>
      <c r="L22" s="40">
        <f>Verrechnung!L22-Selbstkosten!L22-Rückstellungen!L22-Rückstellungen!Y22</f>
        <v/>
      </c>
      <c r="M22" s="40">
        <f>Verrechnung!M22-Selbstkosten!M22-Rückstellungen!M22-Rückstellungen!Z22</f>
        <v/>
      </c>
      <c r="N22" s="40">
        <f>Verrechnung!N22-Selbstkosten!N22-Rückstellungen!N22-Rückstellungen!AA22</f>
        <v/>
      </c>
      <c r="O22" s="40">
        <f>Verrechnung!O22-Selbstkosten!O22-Rückstellungen!O22-Rückstellungen!AB22</f>
        <v/>
      </c>
      <c r="P22" s="28">
        <f>SUM(D22:O22)</f>
        <v/>
      </c>
      <c r="Q22" s="80">
        <f>Verrechnung!P22</f>
        <v/>
      </c>
      <c r="R22" s="29">
        <f>IFERROR(P22/Q22,0)</f>
        <v/>
      </c>
      <c r="S22" s="81">
        <f>RANK(P22,$P$9:$P$108,0)</f>
        <v/>
      </c>
      <c r="T22" s="82">
        <f>IF(P22&lt;0,RANK(P22,$P$9:$P$108,1),"")</f>
        <v/>
      </c>
    </row>
    <row r="23">
      <c r="A23" s="71">
        <f>Stammdaten!A23</f>
        <v/>
      </c>
      <c r="B23" s="72">
        <f>Stammdaten!B23</f>
        <v/>
      </c>
      <c r="C23" s="72">
        <f>Stammdaten!C23</f>
        <v/>
      </c>
      <c r="D23" s="40">
        <f>Verrechnung!D23-Selbstkosten!D23-Rückstellungen!D23-Rückstellungen!Q23</f>
        <v/>
      </c>
      <c r="E23" s="40">
        <f>Verrechnung!E23-Selbstkosten!E23-Rückstellungen!E23-Rückstellungen!R23</f>
        <v/>
      </c>
      <c r="F23" s="40">
        <f>Verrechnung!F23-Selbstkosten!F23-Rückstellungen!F23-Rückstellungen!S23</f>
        <v/>
      </c>
      <c r="G23" s="40">
        <f>Verrechnung!G23-Selbstkosten!G23-Rückstellungen!G23-Rückstellungen!T23</f>
        <v/>
      </c>
      <c r="H23" s="40">
        <f>Verrechnung!H23-Selbstkosten!H23-Rückstellungen!H23-Rückstellungen!U23</f>
        <v/>
      </c>
      <c r="I23" s="40">
        <f>Verrechnung!I23-Selbstkosten!I23-Rückstellungen!I23-Rückstellungen!V23</f>
        <v/>
      </c>
      <c r="J23" s="40">
        <f>Verrechnung!J23-Selbstkosten!J23-Rückstellungen!J23-Rückstellungen!W23</f>
        <v/>
      </c>
      <c r="K23" s="40">
        <f>Verrechnung!K23-Selbstkosten!K23-Rückstellungen!K23-Rückstellungen!X23</f>
        <v/>
      </c>
      <c r="L23" s="40">
        <f>Verrechnung!L23-Selbstkosten!L23-Rückstellungen!L23-Rückstellungen!Y23</f>
        <v/>
      </c>
      <c r="M23" s="40">
        <f>Verrechnung!M23-Selbstkosten!M23-Rückstellungen!M23-Rückstellungen!Z23</f>
        <v/>
      </c>
      <c r="N23" s="40">
        <f>Verrechnung!N23-Selbstkosten!N23-Rückstellungen!N23-Rückstellungen!AA23</f>
        <v/>
      </c>
      <c r="O23" s="40">
        <f>Verrechnung!O23-Selbstkosten!O23-Rückstellungen!O23-Rückstellungen!AB23</f>
        <v/>
      </c>
      <c r="P23" s="28">
        <f>SUM(D23:O23)</f>
        <v/>
      </c>
      <c r="Q23" s="80">
        <f>Verrechnung!P23</f>
        <v/>
      </c>
      <c r="R23" s="29">
        <f>IFERROR(P23/Q23,0)</f>
        <v/>
      </c>
      <c r="S23" s="81">
        <f>RANK(P23,$P$9:$P$108,0)</f>
        <v/>
      </c>
      <c r="T23" s="82">
        <f>IF(P23&lt;0,RANK(P23,$P$9:$P$108,1),"")</f>
        <v/>
      </c>
    </row>
    <row r="24">
      <c r="A24" s="71">
        <f>Stammdaten!A24</f>
        <v/>
      </c>
      <c r="B24" s="72">
        <f>Stammdaten!B24</f>
        <v/>
      </c>
      <c r="C24" s="72">
        <f>Stammdaten!C24</f>
        <v/>
      </c>
      <c r="D24" s="40">
        <f>Verrechnung!D24-Selbstkosten!D24-Rückstellungen!D24-Rückstellungen!Q24</f>
        <v/>
      </c>
      <c r="E24" s="40">
        <f>Verrechnung!E24-Selbstkosten!E24-Rückstellungen!E24-Rückstellungen!R24</f>
        <v/>
      </c>
      <c r="F24" s="40">
        <f>Verrechnung!F24-Selbstkosten!F24-Rückstellungen!F24-Rückstellungen!S24</f>
        <v/>
      </c>
      <c r="G24" s="40">
        <f>Verrechnung!G24-Selbstkosten!G24-Rückstellungen!G24-Rückstellungen!T24</f>
        <v/>
      </c>
      <c r="H24" s="40">
        <f>Verrechnung!H24-Selbstkosten!H24-Rückstellungen!H24-Rückstellungen!U24</f>
        <v/>
      </c>
      <c r="I24" s="40">
        <f>Verrechnung!I24-Selbstkosten!I24-Rückstellungen!I24-Rückstellungen!V24</f>
        <v/>
      </c>
      <c r="J24" s="40">
        <f>Verrechnung!J24-Selbstkosten!J24-Rückstellungen!J24-Rückstellungen!W24</f>
        <v/>
      </c>
      <c r="K24" s="40">
        <f>Verrechnung!K24-Selbstkosten!K24-Rückstellungen!K24-Rückstellungen!X24</f>
        <v/>
      </c>
      <c r="L24" s="40">
        <f>Verrechnung!L24-Selbstkosten!L24-Rückstellungen!L24-Rückstellungen!Y24</f>
        <v/>
      </c>
      <c r="M24" s="40">
        <f>Verrechnung!M24-Selbstkosten!M24-Rückstellungen!M24-Rückstellungen!Z24</f>
        <v/>
      </c>
      <c r="N24" s="40">
        <f>Verrechnung!N24-Selbstkosten!N24-Rückstellungen!N24-Rückstellungen!AA24</f>
        <v/>
      </c>
      <c r="O24" s="40">
        <f>Verrechnung!O24-Selbstkosten!O24-Rückstellungen!O24-Rückstellungen!AB24</f>
        <v/>
      </c>
      <c r="P24" s="28">
        <f>SUM(D24:O24)</f>
        <v/>
      </c>
      <c r="Q24" s="80">
        <f>Verrechnung!P24</f>
        <v/>
      </c>
      <c r="R24" s="29">
        <f>IFERROR(P24/Q24,0)</f>
        <v/>
      </c>
      <c r="S24" s="81">
        <f>RANK(P24,$P$9:$P$108,0)</f>
        <v/>
      </c>
      <c r="T24" s="82">
        <f>IF(P24&lt;0,RANK(P24,$P$9:$P$108,1),"")</f>
        <v/>
      </c>
    </row>
    <row r="25">
      <c r="A25" s="71">
        <f>Stammdaten!A25</f>
        <v/>
      </c>
      <c r="B25" s="72">
        <f>Stammdaten!B25</f>
        <v/>
      </c>
      <c r="C25" s="72">
        <f>Stammdaten!C25</f>
        <v/>
      </c>
      <c r="D25" s="40">
        <f>Verrechnung!D25-Selbstkosten!D25-Rückstellungen!D25-Rückstellungen!Q25</f>
        <v/>
      </c>
      <c r="E25" s="40">
        <f>Verrechnung!E25-Selbstkosten!E25-Rückstellungen!E25-Rückstellungen!R25</f>
        <v/>
      </c>
      <c r="F25" s="40">
        <f>Verrechnung!F25-Selbstkosten!F25-Rückstellungen!F25-Rückstellungen!S25</f>
        <v/>
      </c>
      <c r="G25" s="40">
        <f>Verrechnung!G25-Selbstkosten!G25-Rückstellungen!G25-Rückstellungen!T25</f>
        <v/>
      </c>
      <c r="H25" s="40">
        <f>Verrechnung!H25-Selbstkosten!H25-Rückstellungen!H25-Rückstellungen!U25</f>
        <v/>
      </c>
      <c r="I25" s="40">
        <f>Verrechnung!I25-Selbstkosten!I25-Rückstellungen!I25-Rückstellungen!V25</f>
        <v/>
      </c>
      <c r="J25" s="40">
        <f>Verrechnung!J25-Selbstkosten!J25-Rückstellungen!J25-Rückstellungen!W25</f>
        <v/>
      </c>
      <c r="K25" s="40">
        <f>Verrechnung!K25-Selbstkosten!K25-Rückstellungen!K25-Rückstellungen!X25</f>
        <v/>
      </c>
      <c r="L25" s="40">
        <f>Verrechnung!L25-Selbstkosten!L25-Rückstellungen!L25-Rückstellungen!Y25</f>
        <v/>
      </c>
      <c r="M25" s="40">
        <f>Verrechnung!M25-Selbstkosten!M25-Rückstellungen!M25-Rückstellungen!Z25</f>
        <v/>
      </c>
      <c r="N25" s="40">
        <f>Verrechnung!N25-Selbstkosten!N25-Rückstellungen!N25-Rückstellungen!AA25</f>
        <v/>
      </c>
      <c r="O25" s="40">
        <f>Verrechnung!O25-Selbstkosten!O25-Rückstellungen!O25-Rückstellungen!AB25</f>
        <v/>
      </c>
      <c r="P25" s="28">
        <f>SUM(D25:O25)</f>
        <v/>
      </c>
      <c r="Q25" s="80">
        <f>Verrechnung!P25</f>
        <v/>
      </c>
      <c r="R25" s="29">
        <f>IFERROR(P25/Q25,0)</f>
        <v/>
      </c>
      <c r="S25" s="81">
        <f>RANK(P25,$P$9:$P$108,0)</f>
        <v/>
      </c>
      <c r="T25" s="82">
        <f>IF(P25&lt;0,RANK(P25,$P$9:$P$108,1),"")</f>
        <v/>
      </c>
    </row>
    <row r="26">
      <c r="A26" s="71">
        <f>Stammdaten!A26</f>
        <v/>
      </c>
      <c r="B26" s="72">
        <f>Stammdaten!B26</f>
        <v/>
      </c>
      <c r="C26" s="72">
        <f>Stammdaten!C26</f>
        <v/>
      </c>
      <c r="D26" s="40">
        <f>Verrechnung!D26-Selbstkosten!D26-Rückstellungen!D26-Rückstellungen!Q26</f>
        <v/>
      </c>
      <c r="E26" s="40">
        <f>Verrechnung!E26-Selbstkosten!E26-Rückstellungen!E26-Rückstellungen!R26</f>
        <v/>
      </c>
      <c r="F26" s="40">
        <f>Verrechnung!F26-Selbstkosten!F26-Rückstellungen!F26-Rückstellungen!S26</f>
        <v/>
      </c>
      <c r="G26" s="40">
        <f>Verrechnung!G26-Selbstkosten!G26-Rückstellungen!G26-Rückstellungen!T26</f>
        <v/>
      </c>
      <c r="H26" s="40">
        <f>Verrechnung!H26-Selbstkosten!H26-Rückstellungen!H26-Rückstellungen!U26</f>
        <v/>
      </c>
      <c r="I26" s="40">
        <f>Verrechnung!I26-Selbstkosten!I26-Rückstellungen!I26-Rückstellungen!V26</f>
        <v/>
      </c>
      <c r="J26" s="40">
        <f>Verrechnung!J26-Selbstkosten!J26-Rückstellungen!J26-Rückstellungen!W26</f>
        <v/>
      </c>
      <c r="K26" s="40">
        <f>Verrechnung!K26-Selbstkosten!K26-Rückstellungen!K26-Rückstellungen!X26</f>
        <v/>
      </c>
      <c r="L26" s="40">
        <f>Verrechnung!L26-Selbstkosten!L26-Rückstellungen!L26-Rückstellungen!Y26</f>
        <v/>
      </c>
      <c r="M26" s="40">
        <f>Verrechnung!M26-Selbstkosten!M26-Rückstellungen!M26-Rückstellungen!Z26</f>
        <v/>
      </c>
      <c r="N26" s="40">
        <f>Verrechnung!N26-Selbstkosten!N26-Rückstellungen!N26-Rückstellungen!AA26</f>
        <v/>
      </c>
      <c r="O26" s="40">
        <f>Verrechnung!O26-Selbstkosten!O26-Rückstellungen!O26-Rückstellungen!AB26</f>
        <v/>
      </c>
      <c r="P26" s="28">
        <f>SUM(D26:O26)</f>
        <v/>
      </c>
      <c r="Q26" s="80">
        <f>Verrechnung!P26</f>
        <v/>
      </c>
      <c r="R26" s="29">
        <f>IFERROR(P26/Q26,0)</f>
        <v/>
      </c>
      <c r="S26" s="81">
        <f>RANK(P26,$P$9:$P$108,0)</f>
        <v/>
      </c>
      <c r="T26" s="82">
        <f>IF(P26&lt;0,RANK(P26,$P$9:$P$108,1),"")</f>
        <v/>
      </c>
    </row>
    <row r="27">
      <c r="A27" s="71">
        <f>Stammdaten!A27</f>
        <v/>
      </c>
      <c r="B27" s="72">
        <f>Stammdaten!B27</f>
        <v/>
      </c>
      <c r="C27" s="72">
        <f>Stammdaten!C27</f>
        <v/>
      </c>
      <c r="D27" s="40">
        <f>Verrechnung!D27-Selbstkosten!D27-Rückstellungen!D27-Rückstellungen!Q27</f>
        <v/>
      </c>
      <c r="E27" s="40">
        <f>Verrechnung!E27-Selbstkosten!E27-Rückstellungen!E27-Rückstellungen!R27</f>
        <v/>
      </c>
      <c r="F27" s="40">
        <f>Verrechnung!F27-Selbstkosten!F27-Rückstellungen!F27-Rückstellungen!S27</f>
        <v/>
      </c>
      <c r="G27" s="40">
        <f>Verrechnung!G27-Selbstkosten!G27-Rückstellungen!G27-Rückstellungen!T27</f>
        <v/>
      </c>
      <c r="H27" s="40">
        <f>Verrechnung!H27-Selbstkosten!H27-Rückstellungen!H27-Rückstellungen!U27</f>
        <v/>
      </c>
      <c r="I27" s="40">
        <f>Verrechnung!I27-Selbstkosten!I27-Rückstellungen!I27-Rückstellungen!V27</f>
        <v/>
      </c>
      <c r="J27" s="40">
        <f>Verrechnung!J27-Selbstkosten!J27-Rückstellungen!J27-Rückstellungen!W27</f>
        <v/>
      </c>
      <c r="K27" s="40">
        <f>Verrechnung!K27-Selbstkosten!K27-Rückstellungen!K27-Rückstellungen!X27</f>
        <v/>
      </c>
      <c r="L27" s="40">
        <f>Verrechnung!L27-Selbstkosten!L27-Rückstellungen!L27-Rückstellungen!Y27</f>
        <v/>
      </c>
      <c r="M27" s="40">
        <f>Verrechnung!M27-Selbstkosten!M27-Rückstellungen!M27-Rückstellungen!Z27</f>
        <v/>
      </c>
      <c r="N27" s="40">
        <f>Verrechnung!N27-Selbstkosten!N27-Rückstellungen!N27-Rückstellungen!AA27</f>
        <v/>
      </c>
      <c r="O27" s="40">
        <f>Verrechnung!O27-Selbstkosten!O27-Rückstellungen!O27-Rückstellungen!AB27</f>
        <v/>
      </c>
      <c r="P27" s="28">
        <f>SUM(D27:O27)</f>
        <v/>
      </c>
      <c r="Q27" s="80">
        <f>Verrechnung!P27</f>
        <v/>
      </c>
      <c r="R27" s="29">
        <f>IFERROR(P27/Q27,0)</f>
        <v/>
      </c>
      <c r="S27" s="81">
        <f>RANK(P27,$P$9:$P$108,0)</f>
        <v/>
      </c>
      <c r="T27" s="82">
        <f>IF(P27&lt;0,RANK(P27,$P$9:$P$108,1),"")</f>
        <v/>
      </c>
    </row>
    <row r="28">
      <c r="A28" s="71">
        <f>Stammdaten!A28</f>
        <v/>
      </c>
      <c r="B28" s="72">
        <f>Stammdaten!B28</f>
        <v/>
      </c>
      <c r="C28" s="72">
        <f>Stammdaten!C28</f>
        <v/>
      </c>
      <c r="D28" s="40">
        <f>Verrechnung!D28-Selbstkosten!D28-Rückstellungen!D28-Rückstellungen!Q28</f>
        <v/>
      </c>
      <c r="E28" s="40">
        <f>Verrechnung!E28-Selbstkosten!E28-Rückstellungen!E28-Rückstellungen!R28</f>
        <v/>
      </c>
      <c r="F28" s="40">
        <f>Verrechnung!F28-Selbstkosten!F28-Rückstellungen!F28-Rückstellungen!S28</f>
        <v/>
      </c>
      <c r="G28" s="40">
        <f>Verrechnung!G28-Selbstkosten!G28-Rückstellungen!G28-Rückstellungen!T28</f>
        <v/>
      </c>
      <c r="H28" s="40">
        <f>Verrechnung!H28-Selbstkosten!H28-Rückstellungen!H28-Rückstellungen!U28</f>
        <v/>
      </c>
      <c r="I28" s="40">
        <f>Verrechnung!I28-Selbstkosten!I28-Rückstellungen!I28-Rückstellungen!V28</f>
        <v/>
      </c>
      <c r="J28" s="40">
        <f>Verrechnung!J28-Selbstkosten!J28-Rückstellungen!J28-Rückstellungen!W28</f>
        <v/>
      </c>
      <c r="K28" s="40">
        <f>Verrechnung!K28-Selbstkosten!K28-Rückstellungen!K28-Rückstellungen!X28</f>
        <v/>
      </c>
      <c r="L28" s="40">
        <f>Verrechnung!L28-Selbstkosten!L28-Rückstellungen!L28-Rückstellungen!Y28</f>
        <v/>
      </c>
      <c r="M28" s="40">
        <f>Verrechnung!M28-Selbstkosten!M28-Rückstellungen!M28-Rückstellungen!Z28</f>
        <v/>
      </c>
      <c r="N28" s="40">
        <f>Verrechnung!N28-Selbstkosten!N28-Rückstellungen!N28-Rückstellungen!AA28</f>
        <v/>
      </c>
      <c r="O28" s="40">
        <f>Verrechnung!O28-Selbstkosten!O28-Rückstellungen!O28-Rückstellungen!AB28</f>
        <v/>
      </c>
      <c r="P28" s="28">
        <f>SUM(D28:O28)</f>
        <v/>
      </c>
      <c r="Q28" s="80">
        <f>Verrechnung!P28</f>
        <v/>
      </c>
      <c r="R28" s="29">
        <f>IFERROR(P28/Q28,0)</f>
        <v/>
      </c>
      <c r="S28" s="81">
        <f>RANK(P28,$P$9:$P$108,0)</f>
        <v/>
      </c>
      <c r="T28" s="82">
        <f>IF(P28&lt;0,RANK(P28,$P$9:$P$108,1),"")</f>
        <v/>
      </c>
    </row>
    <row r="29">
      <c r="A29" s="68">
        <f>Stammdaten!A29</f>
        <v/>
      </c>
      <c r="B29" s="69">
        <f>Stammdaten!B29</f>
        <v/>
      </c>
      <c r="C29" s="69">
        <f>Stammdaten!C29</f>
        <v/>
      </c>
      <c r="D29" s="40">
        <f>Verrechnung!D29-Selbstkosten!D29-Rückstellungen!D29-Rückstellungen!Q29</f>
        <v/>
      </c>
      <c r="E29" s="40">
        <f>Verrechnung!E29-Selbstkosten!E29-Rückstellungen!E29-Rückstellungen!R29</f>
        <v/>
      </c>
      <c r="F29" s="40">
        <f>Verrechnung!F29-Selbstkosten!F29-Rückstellungen!F29-Rückstellungen!S29</f>
        <v/>
      </c>
      <c r="G29" s="40">
        <f>Verrechnung!G29-Selbstkosten!G29-Rückstellungen!G29-Rückstellungen!T29</f>
        <v/>
      </c>
      <c r="H29" s="40">
        <f>Verrechnung!H29-Selbstkosten!H29-Rückstellungen!H29-Rückstellungen!U29</f>
        <v/>
      </c>
      <c r="I29" s="40">
        <f>Verrechnung!I29-Selbstkosten!I29-Rückstellungen!I29-Rückstellungen!V29</f>
        <v/>
      </c>
      <c r="J29" s="40">
        <f>Verrechnung!J29-Selbstkosten!J29-Rückstellungen!J29-Rückstellungen!W29</f>
        <v/>
      </c>
      <c r="K29" s="40">
        <f>Verrechnung!K29-Selbstkosten!K29-Rückstellungen!K29-Rückstellungen!X29</f>
        <v/>
      </c>
      <c r="L29" s="40">
        <f>Verrechnung!L29-Selbstkosten!L29-Rückstellungen!L29-Rückstellungen!Y29</f>
        <v/>
      </c>
      <c r="M29" s="40">
        <f>Verrechnung!M29-Selbstkosten!M29-Rückstellungen!M29-Rückstellungen!Z29</f>
        <v/>
      </c>
      <c r="N29" s="40">
        <f>Verrechnung!N29-Selbstkosten!N29-Rückstellungen!N29-Rückstellungen!AA29</f>
        <v/>
      </c>
      <c r="O29" s="40">
        <f>Verrechnung!O29-Selbstkosten!O29-Rückstellungen!O29-Rückstellungen!AB29</f>
        <v/>
      </c>
      <c r="P29" s="28">
        <f>SUM(D29:O29)</f>
        <v/>
      </c>
      <c r="Q29" s="80">
        <f>Verrechnung!P29</f>
        <v/>
      </c>
      <c r="R29" s="29">
        <f>IFERROR(P29/Q29,0)</f>
        <v/>
      </c>
      <c r="S29" s="81">
        <f>RANK(P29,$P$9:$P$108,0)</f>
        <v/>
      </c>
      <c r="T29" s="82">
        <f>IF(P29&lt;0,RANK(P29,$P$9:$P$108,1),"")</f>
        <v/>
      </c>
    </row>
    <row r="30">
      <c r="A30" s="68">
        <f>Stammdaten!A30</f>
        <v/>
      </c>
      <c r="B30" s="69">
        <f>Stammdaten!B30</f>
        <v/>
      </c>
      <c r="C30" s="69">
        <f>Stammdaten!C30</f>
        <v/>
      </c>
      <c r="D30" s="40">
        <f>Verrechnung!D30-Selbstkosten!D30-Rückstellungen!D30-Rückstellungen!Q30</f>
        <v/>
      </c>
      <c r="E30" s="40">
        <f>Verrechnung!E30-Selbstkosten!E30-Rückstellungen!E30-Rückstellungen!R30</f>
        <v/>
      </c>
      <c r="F30" s="40">
        <f>Verrechnung!F30-Selbstkosten!F30-Rückstellungen!F30-Rückstellungen!S30</f>
        <v/>
      </c>
      <c r="G30" s="40">
        <f>Verrechnung!G30-Selbstkosten!G30-Rückstellungen!G30-Rückstellungen!T30</f>
        <v/>
      </c>
      <c r="H30" s="40">
        <f>Verrechnung!H30-Selbstkosten!H30-Rückstellungen!H30-Rückstellungen!U30</f>
        <v/>
      </c>
      <c r="I30" s="40">
        <f>Verrechnung!I30-Selbstkosten!I30-Rückstellungen!I30-Rückstellungen!V30</f>
        <v/>
      </c>
      <c r="J30" s="40">
        <f>Verrechnung!J30-Selbstkosten!J30-Rückstellungen!J30-Rückstellungen!W30</f>
        <v/>
      </c>
      <c r="K30" s="40">
        <f>Verrechnung!K30-Selbstkosten!K30-Rückstellungen!K30-Rückstellungen!X30</f>
        <v/>
      </c>
      <c r="L30" s="40">
        <f>Verrechnung!L30-Selbstkosten!L30-Rückstellungen!L30-Rückstellungen!Y30</f>
        <v/>
      </c>
      <c r="M30" s="40">
        <f>Verrechnung!M30-Selbstkosten!M30-Rückstellungen!M30-Rückstellungen!Z30</f>
        <v/>
      </c>
      <c r="N30" s="40">
        <f>Verrechnung!N30-Selbstkosten!N30-Rückstellungen!N30-Rückstellungen!AA30</f>
        <v/>
      </c>
      <c r="O30" s="40">
        <f>Verrechnung!O30-Selbstkosten!O30-Rückstellungen!O30-Rückstellungen!AB30</f>
        <v/>
      </c>
      <c r="P30" s="28">
        <f>SUM(D30:O30)</f>
        <v/>
      </c>
      <c r="Q30" s="80">
        <f>Verrechnung!P30</f>
        <v/>
      </c>
      <c r="R30" s="29">
        <f>IFERROR(P30/Q30,0)</f>
        <v/>
      </c>
      <c r="S30" s="81">
        <f>RANK(P30,$P$9:$P$108,0)</f>
        <v/>
      </c>
      <c r="T30" s="82">
        <f>IF(P30&lt;0,RANK(P30,$P$9:$P$108,1),"")</f>
        <v/>
      </c>
    </row>
    <row r="31">
      <c r="A31" s="68">
        <f>Stammdaten!A31</f>
        <v/>
      </c>
      <c r="B31" s="69">
        <f>Stammdaten!B31</f>
        <v/>
      </c>
      <c r="C31" s="69">
        <f>Stammdaten!C31</f>
        <v/>
      </c>
      <c r="D31" s="40">
        <f>Verrechnung!D31-Selbstkosten!D31-Rückstellungen!D31-Rückstellungen!Q31</f>
        <v/>
      </c>
      <c r="E31" s="40">
        <f>Verrechnung!E31-Selbstkosten!E31-Rückstellungen!E31-Rückstellungen!R31</f>
        <v/>
      </c>
      <c r="F31" s="40">
        <f>Verrechnung!F31-Selbstkosten!F31-Rückstellungen!F31-Rückstellungen!S31</f>
        <v/>
      </c>
      <c r="G31" s="40">
        <f>Verrechnung!G31-Selbstkosten!G31-Rückstellungen!G31-Rückstellungen!T31</f>
        <v/>
      </c>
      <c r="H31" s="40">
        <f>Verrechnung!H31-Selbstkosten!H31-Rückstellungen!H31-Rückstellungen!U31</f>
        <v/>
      </c>
      <c r="I31" s="40">
        <f>Verrechnung!I31-Selbstkosten!I31-Rückstellungen!I31-Rückstellungen!V31</f>
        <v/>
      </c>
      <c r="J31" s="40">
        <f>Verrechnung!J31-Selbstkosten!J31-Rückstellungen!J31-Rückstellungen!W31</f>
        <v/>
      </c>
      <c r="K31" s="40">
        <f>Verrechnung!K31-Selbstkosten!K31-Rückstellungen!K31-Rückstellungen!X31</f>
        <v/>
      </c>
      <c r="L31" s="40">
        <f>Verrechnung!L31-Selbstkosten!L31-Rückstellungen!L31-Rückstellungen!Y31</f>
        <v/>
      </c>
      <c r="M31" s="40">
        <f>Verrechnung!M31-Selbstkosten!M31-Rückstellungen!M31-Rückstellungen!Z31</f>
        <v/>
      </c>
      <c r="N31" s="40">
        <f>Verrechnung!N31-Selbstkosten!N31-Rückstellungen!N31-Rückstellungen!AA31</f>
        <v/>
      </c>
      <c r="O31" s="40">
        <f>Verrechnung!O31-Selbstkosten!O31-Rückstellungen!O31-Rückstellungen!AB31</f>
        <v/>
      </c>
      <c r="P31" s="28">
        <f>SUM(D31:O31)</f>
        <v/>
      </c>
      <c r="Q31" s="80">
        <f>Verrechnung!P31</f>
        <v/>
      </c>
      <c r="R31" s="29">
        <f>IFERROR(P31/Q31,0)</f>
        <v/>
      </c>
      <c r="S31" s="81">
        <f>RANK(P31,$P$9:$P$108,0)</f>
        <v/>
      </c>
      <c r="T31" s="82">
        <f>IF(P31&lt;0,RANK(P31,$P$9:$P$108,1),"")</f>
        <v/>
      </c>
    </row>
    <row r="32">
      <c r="A32" s="68">
        <f>Stammdaten!A32</f>
        <v/>
      </c>
      <c r="B32" s="69">
        <f>Stammdaten!B32</f>
        <v/>
      </c>
      <c r="C32" s="69">
        <f>Stammdaten!C32</f>
        <v/>
      </c>
      <c r="D32" s="40">
        <f>Verrechnung!D32-Selbstkosten!D32-Rückstellungen!D32-Rückstellungen!Q32</f>
        <v/>
      </c>
      <c r="E32" s="40">
        <f>Verrechnung!E32-Selbstkosten!E32-Rückstellungen!E32-Rückstellungen!R32</f>
        <v/>
      </c>
      <c r="F32" s="40">
        <f>Verrechnung!F32-Selbstkosten!F32-Rückstellungen!F32-Rückstellungen!S32</f>
        <v/>
      </c>
      <c r="G32" s="40">
        <f>Verrechnung!G32-Selbstkosten!G32-Rückstellungen!G32-Rückstellungen!T32</f>
        <v/>
      </c>
      <c r="H32" s="40">
        <f>Verrechnung!H32-Selbstkosten!H32-Rückstellungen!H32-Rückstellungen!U32</f>
        <v/>
      </c>
      <c r="I32" s="40">
        <f>Verrechnung!I32-Selbstkosten!I32-Rückstellungen!I32-Rückstellungen!V32</f>
        <v/>
      </c>
      <c r="J32" s="40">
        <f>Verrechnung!J32-Selbstkosten!J32-Rückstellungen!J32-Rückstellungen!W32</f>
        <v/>
      </c>
      <c r="K32" s="40">
        <f>Verrechnung!K32-Selbstkosten!K32-Rückstellungen!K32-Rückstellungen!X32</f>
        <v/>
      </c>
      <c r="L32" s="40">
        <f>Verrechnung!L32-Selbstkosten!L32-Rückstellungen!L32-Rückstellungen!Y32</f>
        <v/>
      </c>
      <c r="M32" s="40">
        <f>Verrechnung!M32-Selbstkosten!M32-Rückstellungen!M32-Rückstellungen!Z32</f>
        <v/>
      </c>
      <c r="N32" s="40">
        <f>Verrechnung!N32-Selbstkosten!N32-Rückstellungen!N32-Rückstellungen!AA32</f>
        <v/>
      </c>
      <c r="O32" s="40">
        <f>Verrechnung!O32-Selbstkosten!O32-Rückstellungen!O32-Rückstellungen!AB32</f>
        <v/>
      </c>
      <c r="P32" s="28">
        <f>SUM(D32:O32)</f>
        <v/>
      </c>
      <c r="Q32" s="80">
        <f>Verrechnung!P32</f>
        <v/>
      </c>
      <c r="R32" s="29">
        <f>IFERROR(P32/Q32,0)</f>
        <v/>
      </c>
      <c r="S32" s="81">
        <f>RANK(P32,$P$9:$P$108,0)</f>
        <v/>
      </c>
      <c r="T32" s="82">
        <f>IF(P32&lt;0,RANK(P32,$P$9:$P$108,1),"")</f>
        <v/>
      </c>
    </row>
    <row r="33">
      <c r="A33" s="68">
        <f>Stammdaten!A33</f>
        <v/>
      </c>
      <c r="B33" s="69">
        <f>Stammdaten!B33</f>
        <v/>
      </c>
      <c r="C33" s="69">
        <f>Stammdaten!C33</f>
        <v/>
      </c>
      <c r="D33" s="40">
        <f>Verrechnung!D33-Selbstkosten!D33-Rückstellungen!D33-Rückstellungen!Q33</f>
        <v/>
      </c>
      <c r="E33" s="40">
        <f>Verrechnung!E33-Selbstkosten!E33-Rückstellungen!E33-Rückstellungen!R33</f>
        <v/>
      </c>
      <c r="F33" s="40">
        <f>Verrechnung!F33-Selbstkosten!F33-Rückstellungen!F33-Rückstellungen!S33</f>
        <v/>
      </c>
      <c r="G33" s="40">
        <f>Verrechnung!G33-Selbstkosten!G33-Rückstellungen!G33-Rückstellungen!T33</f>
        <v/>
      </c>
      <c r="H33" s="40">
        <f>Verrechnung!H33-Selbstkosten!H33-Rückstellungen!H33-Rückstellungen!U33</f>
        <v/>
      </c>
      <c r="I33" s="40">
        <f>Verrechnung!I33-Selbstkosten!I33-Rückstellungen!I33-Rückstellungen!V33</f>
        <v/>
      </c>
      <c r="J33" s="40">
        <f>Verrechnung!J33-Selbstkosten!J33-Rückstellungen!J33-Rückstellungen!W33</f>
        <v/>
      </c>
      <c r="K33" s="40">
        <f>Verrechnung!K33-Selbstkosten!K33-Rückstellungen!K33-Rückstellungen!X33</f>
        <v/>
      </c>
      <c r="L33" s="40">
        <f>Verrechnung!L33-Selbstkosten!L33-Rückstellungen!L33-Rückstellungen!Y33</f>
        <v/>
      </c>
      <c r="M33" s="40">
        <f>Verrechnung!M33-Selbstkosten!M33-Rückstellungen!M33-Rückstellungen!Z33</f>
        <v/>
      </c>
      <c r="N33" s="40">
        <f>Verrechnung!N33-Selbstkosten!N33-Rückstellungen!N33-Rückstellungen!AA33</f>
        <v/>
      </c>
      <c r="O33" s="40">
        <f>Verrechnung!O33-Selbstkosten!O33-Rückstellungen!O33-Rückstellungen!AB33</f>
        <v/>
      </c>
      <c r="P33" s="28">
        <f>SUM(D33:O33)</f>
        <v/>
      </c>
      <c r="Q33" s="80">
        <f>Verrechnung!P33</f>
        <v/>
      </c>
      <c r="R33" s="29">
        <f>IFERROR(P33/Q33,0)</f>
        <v/>
      </c>
      <c r="S33" s="81">
        <f>RANK(P33,$P$9:$P$108,0)</f>
        <v/>
      </c>
      <c r="T33" s="82">
        <f>IF(P33&lt;0,RANK(P33,$P$9:$P$108,1),"")</f>
        <v/>
      </c>
    </row>
    <row r="34">
      <c r="A34" s="68">
        <f>Stammdaten!A34</f>
        <v/>
      </c>
      <c r="B34" s="69">
        <f>Stammdaten!B34</f>
        <v/>
      </c>
      <c r="C34" s="69">
        <f>Stammdaten!C34</f>
        <v/>
      </c>
      <c r="D34" s="40">
        <f>Verrechnung!D34-Selbstkosten!D34-Rückstellungen!D34-Rückstellungen!Q34</f>
        <v/>
      </c>
      <c r="E34" s="40">
        <f>Verrechnung!E34-Selbstkosten!E34-Rückstellungen!E34-Rückstellungen!R34</f>
        <v/>
      </c>
      <c r="F34" s="40">
        <f>Verrechnung!F34-Selbstkosten!F34-Rückstellungen!F34-Rückstellungen!S34</f>
        <v/>
      </c>
      <c r="G34" s="40">
        <f>Verrechnung!G34-Selbstkosten!G34-Rückstellungen!G34-Rückstellungen!T34</f>
        <v/>
      </c>
      <c r="H34" s="40">
        <f>Verrechnung!H34-Selbstkosten!H34-Rückstellungen!H34-Rückstellungen!U34</f>
        <v/>
      </c>
      <c r="I34" s="40">
        <f>Verrechnung!I34-Selbstkosten!I34-Rückstellungen!I34-Rückstellungen!V34</f>
        <v/>
      </c>
      <c r="J34" s="40">
        <f>Verrechnung!J34-Selbstkosten!J34-Rückstellungen!J34-Rückstellungen!W34</f>
        <v/>
      </c>
      <c r="K34" s="40">
        <f>Verrechnung!K34-Selbstkosten!K34-Rückstellungen!K34-Rückstellungen!X34</f>
        <v/>
      </c>
      <c r="L34" s="40">
        <f>Verrechnung!L34-Selbstkosten!L34-Rückstellungen!L34-Rückstellungen!Y34</f>
        <v/>
      </c>
      <c r="M34" s="40">
        <f>Verrechnung!M34-Selbstkosten!M34-Rückstellungen!M34-Rückstellungen!Z34</f>
        <v/>
      </c>
      <c r="N34" s="40">
        <f>Verrechnung!N34-Selbstkosten!N34-Rückstellungen!N34-Rückstellungen!AA34</f>
        <v/>
      </c>
      <c r="O34" s="40">
        <f>Verrechnung!O34-Selbstkosten!O34-Rückstellungen!O34-Rückstellungen!AB34</f>
        <v/>
      </c>
      <c r="P34" s="28">
        <f>SUM(D34:O34)</f>
        <v/>
      </c>
      <c r="Q34" s="80">
        <f>Verrechnung!P34</f>
        <v/>
      </c>
      <c r="R34" s="29">
        <f>IFERROR(P34/Q34,0)</f>
        <v/>
      </c>
      <c r="S34" s="81">
        <f>RANK(P34,$P$9:$P$108,0)</f>
        <v/>
      </c>
      <c r="T34" s="82">
        <f>IF(P34&lt;0,RANK(P34,$P$9:$P$108,1),"")</f>
        <v/>
      </c>
    </row>
    <row r="35">
      <c r="A35" s="68">
        <f>Stammdaten!A35</f>
        <v/>
      </c>
      <c r="B35" s="69">
        <f>Stammdaten!B35</f>
        <v/>
      </c>
      <c r="C35" s="69">
        <f>Stammdaten!C35</f>
        <v/>
      </c>
      <c r="D35" s="40">
        <f>Verrechnung!D35-Selbstkosten!D35-Rückstellungen!D35-Rückstellungen!Q35</f>
        <v/>
      </c>
      <c r="E35" s="40">
        <f>Verrechnung!E35-Selbstkosten!E35-Rückstellungen!E35-Rückstellungen!R35</f>
        <v/>
      </c>
      <c r="F35" s="40">
        <f>Verrechnung!F35-Selbstkosten!F35-Rückstellungen!F35-Rückstellungen!S35</f>
        <v/>
      </c>
      <c r="G35" s="40">
        <f>Verrechnung!G35-Selbstkosten!G35-Rückstellungen!G35-Rückstellungen!T35</f>
        <v/>
      </c>
      <c r="H35" s="40">
        <f>Verrechnung!H35-Selbstkosten!H35-Rückstellungen!H35-Rückstellungen!U35</f>
        <v/>
      </c>
      <c r="I35" s="40">
        <f>Verrechnung!I35-Selbstkosten!I35-Rückstellungen!I35-Rückstellungen!V35</f>
        <v/>
      </c>
      <c r="J35" s="40">
        <f>Verrechnung!J35-Selbstkosten!J35-Rückstellungen!J35-Rückstellungen!W35</f>
        <v/>
      </c>
      <c r="K35" s="40">
        <f>Verrechnung!K35-Selbstkosten!K35-Rückstellungen!K35-Rückstellungen!X35</f>
        <v/>
      </c>
      <c r="L35" s="40">
        <f>Verrechnung!L35-Selbstkosten!L35-Rückstellungen!L35-Rückstellungen!Y35</f>
        <v/>
      </c>
      <c r="M35" s="40">
        <f>Verrechnung!M35-Selbstkosten!M35-Rückstellungen!M35-Rückstellungen!Z35</f>
        <v/>
      </c>
      <c r="N35" s="40">
        <f>Verrechnung!N35-Selbstkosten!N35-Rückstellungen!N35-Rückstellungen!AA35</f>
        <v/>
      </c>
      <c r="O35" s="40">
        <f>Verrechnung!O35-Selbstkosten!O35-Rückstellungen!O35-Rückstellungen!AB35</f>
        <v/>
      </c>
      <c r="P35" s="28">
        <f>SUM(D35:O35)</f>
        <v/>
      </c>
      <c r="Q35" s="80">
        <f>Verrechnung!P35</f>
        <v/>
      </c>
      <c r="R35" s="29">
        <f>IFERROR(P35/Q35,0)</f>
        <v/>
      </c>
      <c r="S35" s="81">
        <f>RANK(P35,$P$9:$P$108,0)</f>
        <v/>
      </c>
      <c r="T35" s="82">
        <f>IF(P35&lt;0,RANK(P35,$P$9:$P$108,1),"")</f>
        <v/>
      </c>
    </row>
    <row r="36">
      <c r="A36" s="68">
        <f>Stammdaten!A36</f>
        <v/>
      </c>
      <c r="B36" s="69">
        <f>Stammdaten!B36</f>
        <v/>
      </c>
      <c r="C36" s="69">
        <f>Stammdaten!C36</f>
        <v/>
      </c>
      <c r="D36" s="40">
        <f>Verrechnung!D36-Selbstkosten!D36-Rückstellungen!D36-Rückstellungen!Q36</f>
        <v/>
      </c>
      <c r="E36" s="40">
        <f>Verrechnung!E36-Selbstkosten!E36-Rückstellungen!E36-Rückstellungen!R36</f>
        <v/>
      </c>
      <c r="F36" s="40">
        <f>Verrechnung!F36-Selbstkosten!F36-Rückstellungen!F36-Rückstellungen!S36</f>
        <v/>
      </c>
      <c r="G36" s="40">
        <f>Verrechnung!G36-Selbstkosten!G36-Rückstellungen!G36-Rückstellungen!T36</f>
        <v/>
      </c>
      <c r="H36" s="40">
        <f>Verrechnung!H36-Selbstkosten!H36-Rückstellungen!H36-Rückstellungen!U36</f>
        <v/>
      </c>
      <c r="I36" s="40">
        <f>Verrechnung!I36-Selbstkosten!I36-Rückstellungen!I36-Rückstellungen!V36</f>
        <v/>
      </c>
      <c r="J36" s="40">
        <f>Verrechnung!J36-Selbstkosten!J36-Rückstellungen!J36-Rückstellungen!W36</f>
        <v/>
      </c>
      <c r="K36" s="40">
        <f>Verrechnung!K36-Selbstkosten!K36-Rückstellungen!K36-Rückstellungen!X36</f>
        <v/>
      </c>
      <c r="L36" s="40">
        <f>Verrechnung!L36-Selbstkosten!L36-Rückstellungen!L36-Rückstellungen!Y36</f>
        <v/>
      </c>
      <c r="M36" s="40">
        <f>Verrechnung!M36-Selbstkosten!M36-Rückstellungen!M36-Rückstellungen!Z36</f>
        <v/>
      </c>
      <c r="N36" s="40">
        <f>Verrechnung!N36-Selbstkosten!N36-Rückstellungen!N36-Rückstellungen!AA36</f>
        <v/>
      </c>
      <c r="O36" s="40">
        <f>Verrechnung!O36-Selbstkosten!O36-Rückstellungen!O36-Rückstellungen!AB36</f>
        <v/>
      </c>
      <c r="P36" s="28">
        <f>SUM(D36:O36)</f>
        <v/>
      </c>
      <c r="Q36" s="80">
        <f>Verrechnung!P36</f>
        <v/>
      </c>
      <c r="R36" s="29">
        <f>IFERROR(P36/Q36,0)</f>
        <v/>
      </c>
      <c r="S36" s="81">
        <f>RANK(P36,$P$9:$P$108,0)</f>
        <v/>
      </c>
      <c r="T36" s="82">
        <f>IF(P36&lt;0,RANK(P36,$P$9:$P$108,1),"")</f>
        <v/>
      </c>
    </row>
    <row r="37">
      <c r="A37" s="68">
        <f>Stammdaten!A37</f>
        <v/>
      </c>
      <c r="B37" s="69">
        <f>Stammdaten!B37</f>
        <v/>
      </c>
      <c r="C37" s="69">
        <f>Stammdaten!C37</f>
        <v/>
      </c>
      <c r="D37" s="40">
        <f>Verrechnung!D37-Selbstkosten!D37-Rückstellungen!D37-Rückstellungen!Q37</f>
        <v/>
      </c>
      <c r="E37" s="40">
        <f>Verrechnung!E37-Selbstkosten!E37-Rückstellungen!E37-Rückstellungen!R37</f>
        <v/>
      </c>
      <c r="F37" s="40">
        <f>Verrechnung!F37-Selbstkosten!F37-Rückstellungen!F37-Rückstellungen!S37</f>
        <v/>
      </c>
      <c r="G37" s="40">
        <f>Verrechnung!G37-Selbstkosten!G37-Rückstellungen!G37-Rückstellungen!T37</f>
        <v/>
      </c>
      <c r="H37" s="40">
        <f>Verrechnung!H37-Selbstkosten!H37-Rückstellungen!H37-Rückstellungen!U37</f>
        <v/>
      </c>
      <c r="I37" s="40">
        <f>Verrechnung!I37-Selbstkosten!I37-Rückstellungen!I37-Rückstellungen!V37</f>
        <v/>
      </c>
      <c r="J37" s="40">
        <f>Verrechnung!J37-Selbstkosten!J37-Rückstellungen!J37-Rückstellungen!W37</f>
        <v/>
      </c>
      <c r="K37" s="40">
        <f>Verrechnung!K37-Selbstkosten!K37-Rückstellungen!K37-Rückstellungen!X37</f>
        <v/>
      </c>
      <c r="L37" s="40">
        <f>Verrechnung!L37-Selbstkosten!L37-Rückstellungen!L37-Rückstellungen!Y37</f>
        <v/>
      </c>
      <c r="M37" s="40">
        <f>Verrechnung!M37-Selbstkosten!M37-Rückstellungen!M37-Rückstellungen!Z37</f>
        <v/>
      </c>
      <c r="N37" s="40">
        <f>Verrechnung!N37-Selbstkosten!N37-Rückstellungen!N37-Rückstellungen!AA37</f>
        <v/>
      </c>
      <c r="O37" s="40">
        <f>Verrechnung!O37-Selbstkosten!O37-Rückstellungen!O37-Rückstellungen!AB37</f>
        <v/>
      </c>
      <c r="P37" s="28">
        <f>SUM(D37:O37)</f>
        <v/>
      </c>
      <c r="Q37" s="80">
        <f>Verrechnung!P37</f>
        <v/>
      </c>
      <c r="R37" s="29">
        <f>IFERROR(P37/Q37,0)</f>
        <v/>
      </c>
      <c r="S37" s="81">
        <f>RANK(P37,$P$9:$P$108,0)</f>
        <v/>
      </c>
      <c r="T37" s="82">
        <f>IF(P37&lt;0,RANK(P37,$P$9:$P$108,1),"")</f>
        <v/>
      </c>
    </row>
    <row r="38">
      <c r="A38" s="68">
        <f>Stammdaten!A38</f>
        <v/>
      </c>
      <c r="B38" s="69">
        <f>Stammdaten!B38</f>
        <v/>
      </c>
      <c r="C38" s="69">
        <f>Stammdaten!C38</f>
        <v/>
      </c>
      <c r="D38" s="40">
        <f>Verrechnung!D38-Selbstkosten!D38-Rückstellungen!D38-Rückstellungen!Q38</f>
        <v/>
      </c>
      <c r="E38" s="40">
        <f>Verrechnung!E38-Selbstkosten!E38-Rückstellungen!E38-Rückstellungen!R38</f>
        <v/>
      </c>
      <c r="F38" s="40">
        <f>Verrechnung!F38-Selbstkosten!F38-Rückstellungen!F38-Rückstellungen!S38</f>
        <v/>
      </c>
      <c r="G38" s="40">
        <f>Verrechnung!G38-Selbstkosten!G38-Rückstellungen!G38-Rückstellungen!T38</f>
        <v/>
      </c>
      <c r="H38" s="40">
        <f>Verrechnung!H38-Selbstkosten!H38-Rückstellungen!H38-Rückstellungen!U38</f>
        <v/>
      </c>
      <c r="I38" s="40">
        <f>Verrechnung!I38-Selbstkosten!I38-Rückstellungen!I38-Rückstellungen!V38</f>
        <v/>
      </c>
      <c r="J38" s="40">
        <f>Verrechnung!J38-Selbstkosten!J38-Rückstellungen!J38-Rückstellungen!W38</f>
        <v/>
      </c>
      <c r="K38" s="40">
        <f>Verrechnung!K38-Selbstkosten!K38-Rückstellungen!K38-Rückstellungen!X38</f>
        <v/>
      </c>
      <c r="L38" s="40">
        <f>Verrechnung!L38-Selbstkosten!L38-Rückstellungen!L38-Rückstellungen!Y38</f>
        <v/>
      </c>
      <c r="M38" s="40">
        <f>Verrechnung!M38-Selbstkosten!M38-Rückstellungen!M38-Rückstellungen!Z38</f>
        <v/>
      </c>
      <c r="N38" s="40">
        <f>Verrechnung!N38-Selbstkosten!N38-Rückstellungen!N38-Rückstellungen!AA38</f>
        <v/>
      </c>
      <c r="O38" s="40">
        <f>Verrechnung!O38-Selbstkosten!O38-Rückstellungen!O38-Rückstellungen!AB38</f>
        <v/>
      </c>
      <c r="P38" s="28">
        <f>SUM(D38:O38)</f>
        <v/>
      </c>
      <c r="Q38" s="80">
        <f>Verrechnung!P38</f>
        <v/>
      </c>
      <c r="R38" s="29">
        <f>IFERROR(P38/Q38,0)</f>
        <v/>
      </c>
      <c r="S38" s="81">
        <f>RANK(P38,$P$9:$P$108,0)</f>
        <v/>
      </c>
      <c r="T38" s="82">
        <f>IF(P38&lt;0,RANK(P38,$P$9:$P$108,1),"")</f>
        <v/>
      </c>
    </row>
    <row r="39">
      <c r="A39" s="71">
        <f>Stammdaten!A39</f>
        <v/>
      </c>
      <c r="B39" s="72">
        <f>Stammdaten!B39</f>
        <v/>
      </c>
      <c r="C39" s="72">
        <f>Stammdaten!C39</f>
        <v/>
      </c>
      <c r="D39" s="40">
        <f>Verrechnung!D39-Selbstkosten!D39-Rückstellungen!D39-Rückstellungen!Q39</f>
        <v/>
      </c>
      <c r="E39" s="40">
        <f>Verrechnung!E39-Selbstkosten!E39-Rückstellungen!E39-Rückstellungen!R39</f>
        <v/>
      </c>
      <c r="F39" s="40">
        <f>Verrechnung!F39-Selbstkosten!F39-Rückstellungen!F39-Rückstellungen!S39</f>
        <v/>
      </c>
      <c r="G39" s="40">
        <f>Verrechnung!G39-Selbstkosten!G39-Rückstellungen!G39-Rückstellungen!T39</f>
        <v/>
      </c>
      <c r="H39" s="40">
        <f>Verrechnung!H39-Selbstkosten!H39-Rückstellungen!H39-Rückstellungen!U39</f>
        <v/>
      </c>
      <c r="I39" s="40">
        <f>Verrechnung!I39-Selbstkosten!I39-Rückstellungen!I39-Rückstellungen!V39</f>
        <v/>
      </c>
      <c r="J39" s="40">
        <f>Verrechnung!J39-Selbstkosten!J39-Rückstellungen!J39-Rückstellungen!W39</f>
        <v/>
      </c>
      <c r="K39" s="40">
        <f>Verrechnung!K39-Selbstkosten!K39-Rückstellungen!K39-Rückstellungen!X39</f>
        <v/>
      </c>
      <c r="L39" s="40">
        <f>Verrechnung!L39-Selbstkosten!L39-Rückstellungen!L39-Rückstellungen!Y39</f>
        <v/>
      </c>
      <c r="M39" s="40">
        <f>Verrechnung!M39-Selbstkosten!M39-Rückstellungen!M39-Rückstellungen!Z39</f>
        <v/>
      </c>
      <c r="N39" s="40">
        <f>Verrechnung!N39-Selbstkosten!N39-Rückstellungen!N39-Rückstellungen!AA39</f>
        <v/>
      </c>
      <c r="O39" s="40">
        <f>Verrechnung!O39-Selbstkosten!O39-Rückstellungen!O39-Rückstellungen!AB39</f>
        <v/>
      </c>
      <c r="P39" s="28">
        <f>SUM(D39:O39)</f>
        <v/>
      </c>
      <c r="Q39" s="80">
        <f>Verrechnung!P39</f>
        <v/>
      </c>
      <c r="R39" s="29">
        <f>IFERROR(P39/Q39,0)</f>
        <v/>
      </c>
      <c r="S39" s="81">
        <f>RANK(P39,$P$9:$P$108,0)</f>
        <v/>
      </c>
      <c r="T39" s="82">
        <f>IF(P39&lt;0,RANK(P39,$P$9:$P$108,1),"")</f>
        <v/>
      </c>
    </row>
    <row r="40">
      <c r="A40" s="71">
        <f>Stammdaten!A40</f>
        <v/>
      </c>
      <c r="B40" s="72">
        <f>Stammdaten!B40</f>
        <v/>
      </c>
      <c r="C40" s="72">
        <f>Stammdaten!C40</f>
        <v/>
      </c>
      <c r="D40" s="40">
        <f>Verrechnung!D40-Selbstkosten!D40-Rückstellungen!D40-Rückstellungen!Q40</f>
        <v/>
      </c>
      <c r="E40" s="40">
        <f>Verrechnung!E40-Selbstkosten!E40-Rückstellungen!E40-Rückstellungen!R40</f>
        <v/>
      </c>
      <c r="F40" s="40">
        <f>Verrechnung!F40-Selbstkosten!F40-Rückstellungen!F40-Rückstellungen!S40</f>
        <v/>
      </c>
      <c r="G40" s="40">
        <f>Verrechnung!G40-Selbstkosten!G40-Rückstellungen!G40-Rückstellungen!T40</f>
        <v/>
      </c>
      <c r="H40" s="40">
        <f>Verrechnung!H40-Selbstkosten!H40-Rückstellungen!H40-Rückstellungen!U40</f>
        <v/>
      </c>
      <c r="I40" s="40">
        <f>Verrechnung!I40-Selbstkosten!I40-Rückstellungen!I40-Rückstellungen!V40</f>
        <v/>
      </c>
      <c r="J40" s="40">
        <f>Verrechnung!J40-Selbstkosten!J40-Rückstellungen!J40-Rückstellungen!W40</f>
        <v/>
      </c>
      <c r="K40" s="40">
        <f>Verrechnung!K40-Selbstkosten!K40-Rückstellungen!K40-Rückstellungen!X40</f>
        <v/>
      </c>
      <c r="L40" s="40">
        <f>Verrechnung!L40-Selbstkosten!L40-Rückstellungen!L40-Rückstellungen!Y40</f>
        <v/>
      </c>
      <c r="M40" s="40">
        <f>Verrechnung!M40-Selbstkosten!M40-Rückstellungen!M40-Rückstellungen!Z40</f>
        <v/>
      </c>
      <c r="N40" s="40">
        <f>Verrechnung!N40-Selbstkosten!N40-Rückstellungen!N40-Rückstellungen!AA40</f>
        <v/>
      </c>
      <c r="O40" s="40">
        <f>Verrechnung!O40-Selbstkosten!O40-Rückstellungen!O40-Rückstellungen!AB40</f>
        <v/>
      </c>
      <c r="P40" s="28">
        <f>SUM(D40:O40)</f>
        <v/>
      </c>
      <c r="Q40" s="80">
        <f>Verrechnung!P40</f>
        <v/>
      </c>
      <c r="R40" s="29">
        <f>IFERROR(P40/Q40,0)</f>
        <v/>
      </c>
      <c r="S40" s="81">
        <f>RANK(P40,$P$9:$P$108,0)</f>
        <v/>
      </c>
      <c r="T40" s="82">
        <f>IF(P40&lt;0,RANK(P40,$P$9:$P$108,1),"")</f>
        <v/>
      </c>
    </row>
    <row r="41">
      <c r="A41" s="71">
        <f>Stammdaten!A41</f>
        <v/>
      </c>
      <c r="B41" s="72">
        <f>Stammdaten!B41</f>
        <v/>
      </c>
      <c r="C41" s="72">
        <f>Stammdaten!C41</f>
        <v/>
      </c>
      <c r="D41" s="40">
        <f>Verrechnung!D41-Selbstkosten!D41-Rückstellungen!D41-Rückstellungen!Q41</f>
        <v/>
      </c>
      <c r="E41" s="40">
        <f>Verrechnung!E41-Selbstkosten!E41-Rückstellungen!E41-Rückstellungen!R41</f>
        <v/>
      </c>
      <c r="F41" s="40">
        <f>Verrechnung!F41-Selbstkosten!F41-Rückstellungen!F41-Rückstellungen!S41</f>
        <v/>
      </c>
      <c r="G41" s="40">
        <f>Verrechnung!G41-Selbstkosten!G41-Rückstellungen!G41-Rückstellungen!T41</f>
        <v/>
      </c>
      <c r="H41" s="40">
        <f>Verrechnung!H41-Selbstkosten!H41-Rückstellungen!H41-Rückstellungen!U41</f>
        <v/>
      </c>
      <c r="I41" s="40">
        <f>Verrechnung!I41-Selbstkosten!I41-Rückstellungen!I41-Rückstellungen!V41</f>
        <v/>
      </c>
      <c r="J41" s="40">
        <f>Verrechnung!J41-Selbstkosten!J41-Rückstellungen!J41-Rückstellungen!W41</f>
        <v/>
      </c>
      <c r="K41" s="40">
        <f>Verrechnung!K41-Selbstkosten!K41-Rückstellungen!K41-Rückstellungen!X41</f>
        <v/>
      </c>
      <c r="L41" s="40">
        <f>Verrechnung!L41-Selbstkosten!L41-Rückstellungen!L41-Rückstellungen!Y41</f>
        <v/>
      </c>
      <c r="M41" s="40">
        <f>Verrechnung!M41-Selbstkosten!M41-Rückstellungen!M41-Rückstellungen!Z41</f>
        <v/>
      </c>
      <c r="N41" s="40">
        <f>Verrechnung!N41-Selbstkosten!N41-Rückstellungen!N41-Rückstellungen!AA41</f>
        <v/>
      </c>
      <c r="O41" s="40">
        <f>Verrechnung!O41-Selbstkosten!O41-Rückstellungen!O41-Rückstellungen!AB41</f>
        <v/>
      </c>
      <c r="P41" s="28">
        <f>SUM(D41:O41)</f>
        <v/>
      </c>
      <c r="Q41" s="80">
        <f>Verrechnung!P41</f>
        <v/>
      </c>
      <c r="R41" s="29">
        <f>IFERROR(P41/Q41,0)</f>
        <v/>
      </c>
      <c r="S41" s="81">
        <f>RANK(P41,$P$9:$P$108,0)</f>
        <v/>
      </c>
      <c r="T41" s="82">
        <f>IF(P41&lt;0,RANK(P41,$P$9:$P$108,1),"")</f>
        <v/>
      </c>
    </row>
    <row r="42">
      <c r="A42" s="71">
        <f>Stammdaten!A42</f>
        <v/>
      </c>
      <c r="B42" s="72">
        <f>Stammdaten!B42</f>
        <v/>
      </c>
      <c r="C42" s="72">
        <f>Stammdaten!C42</f>
        <v/>
      </c>
      <c r="D42" s="40">
        <f>Verrechnung!D42-Selbstkosten!D42-Rückstellungen!D42-Rückstellungen!Q42</f>
        <v/>
      </c>
      <c r="E42" s="40">
        <f>Verrechnung!E42-Selbstkosten!E42-Rückstellungen!E42-Rückstellungen!R42</f>
        <v/>
      </c>
      <c r="F42" s="40">
        <f>Verrechnung!F42-Selbstkosten!F42-Rückstellungen!F42-Rückstellungen!S42</f>
        <v/>
      </c>
      <c r="G42" s="40">
        <f>Verrechnung!G42-Selbstkosten!G42-Rückstellungen!G42-Rückstellungen!T42</f>
        <v/>
      </c>
      <c r="H42" s="40">
        <f>Verrechnung!H42-Selbstkosten!H42-Rückstellungen!H42-Rückstellungen!U42</f>
        <v/>
      </c>
      <c r="I42" s="40">
        <f>Verrechnung!I42-Selbstkosten!I42-Rückstellungen!I42-Rückstellungen!V42</f>
        <v/>
      </c>
      <c r="J42" s="40">
        <f>Verrechnung!J42-Selbstkosten!J42-Rückstellungen!J42-Rückstellungen!W42</f>
        <v/>
      </c>
      <c r="K42" s="40">
        <f>Verrechnung!K42-Selbstkosten!K42-Rückstellungen!K42-Rückstellungen!X42</f>
        <v/>
      </c>
      <c r="L42" s="40">
        <f>Verrechnung!L42-Selbstkosten!L42-Rückstellungen!L42-Rückstellungen!Y42</f>
        <v/>
      </c>
      <c r="M42" s="40">
        <f>Verrechnung!M42-Selbstkosten!M42-Rückstellungen!M42-Rückstellungen!Z42</f>
        <v/>
      </c>
      <c r="N42" s="40">
        <f>Verrechnung!N42-Selbstkosten!N42-Rückstellungen!N42-Rückstellungen!AA42</f>
        <v/>
      </c>
      <c r="O42" s="40">
        <f>Verrechnung!O42-Selbstkosten!O42-Rückstellungen!O42-Rückstellungen!AB42</f>
        <v/>
      </c>
      <c r="P42" s="28">
        <f>SUM(D42:O42)</f>
        <v/>
      </c>
      <c r="Q42" s="80">
        <f>Verrechnung!P42</f>
        <v/>
      </c>
      <c r="R42" s="29">
        <f>IFERROR(P42/Q42,0)</f>
        <v/>
      </c>
      <c r="S42" s="81">
        <f>RANK(P42,$P$9:$P$108,0)</f>
        <v/>
      </c>
      <c r="T42" s="82">
        <f>IF(P42&lt;0,RANK(P42,$P$9:$P$108,1),"")</f>
        <v/>
      </c>
    </row>
    <row r="43">
      <c r="A43" s="71">
        <f>Stammdaten!A43</f>
        <v/>
      </c>
      <c r="B43" s="72">
        <f>Stammdaten!B43</f>
        <v/>
      </c>
      <c r="C43" s="72">
        <f>Stammdaten!C43</f>
        <v/>
      </c>
      <c r="D43" s="40">
        <f>Verrechnung!D43-Selbstkosten!D43-Rückstellungen!D43-Rückstellungen!Q43</f>
        <v/>
      </c>
      <c r="E43" s="40">
        <f>Verrechnung!E43-Selbstkosten!E43-Rückstellungen!E43-Rückstellungen!R43</f>
        <v/>
      </c>
      <c r="F43" s="40">
        <f>Verrechnung!F43-Selbstkosten!F43-Rückstellungen!F43-Rückstellungen!S43</f>
        <v/>
      </c>
      <c r="G43" s="40">
        <f>Verrechnung!G43-Selbstkosten!G43-Rückstellungen!G43-Rückstellungen!T43</f>
        <v/>
      </c>
      <c r="H43" s="40">
        <f>Verrechnung!H43-Selbstkosten!H43-Rückstellungen!H43-Rückstellungen!U43</f>
        <v/>
      </c>
      <c r="I43" s="40">
        <f>Verrechnung!I43-Selbstkosten!I43-Rückstellungen!I43-Rückstellungen!V43</f>
        <v/>
      </c>
      <c r="J43" s="40">
        <f>Verrechnung!J43-Selbstkosten!J43-Rückstellungen!J43-Rückstellungen!W43</f>
        <v/>
      </c>
      <c r="K43" s="40">
        <f>Verrechnung!K43-Selbstkosten!K43-Rückstellungen!K43-Rückstellungen!X43</f>
        <v/>
      </c>
      <c r="L43" s="40">
        <f>Verrechnung!L43-Selbstkosten!L43-Rückstellungen!L43-Rückstellungen!Y43</f>
        <v/>
      </c>
      <c r="M43" s="40">
        <f>Verrechnung!M43-Selbstkosten!M43-Rückstellungen!M43-Rückstellungen!Z43</f>
        <v/>
      </c>
      <c r="N43" s="40">
        <f>Verrechnung!N43-Selbstkosten!N43-Rückstellungen!N43-Rückstellungen!AA43</f>
        <v/>
      </c>
      <c r="O43" s="40">
        <f>Verrechnung!O43-Selbstkosten!O43-Rückstellungen!O43-Rückstellungen!AB43</f>
        <v/>
      </c>
      <c r="P43" s="28">
        <f>SUM(D43:O43)</f>
        <v/>
      </c>
      <c r="Q43" s="80">
        <f>Verrechnung!P43</f>
        <v/>
      </c>
      <c r="R43" s="29">
        <f>IFERROR(P43/Q43,0)</f>
        <v/>
      </c>
      <c r="S43" s="81">
        <f>RANK(P43,$P$9:$P$108,0)</f>
        <v/>
      </c>
      <c r="T43" s="82">
        <f>IF(P43&lt;0,RANK(P43,$P$9:$P$108,1),"")</f>
        <v/>
      </c>
    </row>
    <row r="44">
      <c r="A44" s="71">
        <f>Stammdaten!A44</f>
        <v/>
      </c>
      <c r="B44" s="72">
        <f>Stammdaten!B44</f>
        <v/>
      </c>
      <c r="C44" s="72">
        <f>Stammdaten!C44</f>
        <v/>
      </c>
      <c r="D44" s="40">
        <f>Verrechnung!D44-Selbstkosten!D44-Rückstellungen!D44-Rückstellungen!Q44</f>
        <v/>
      </c>
      <c r="E44" s="40">
        <f>Verrechnung!E44-Selbstkosten!E44-Rückstellungen!E44-Rückstellungen!R44</f>
        <v/>
      </c>
      <c r="F44" s="40">
        <f>Verrechnung!F44-Selbstkosten!F44-Rückstellungen!F44-Rückstellungen!S44</f>
        <v/>
      </c>
      <c r="G44" s="40">
        <f>Verrechnung!G44-Selbstkosten!G44-Rückstellungen!G44-Rückstellungen!T44</f>
        <v/>
      </c>
      <c r="H44" s="40">
        <f>Verrechnung!H44-Selbstkosten!H44-Rückstellungen!H44-Rückstellungen!U44</f>
        <v/>
      </c>
      <c r="I44" s="40">
        <f>Verrechnung!I44-Selbstkosten!I44-Rückstellungen!I44-Rückstellungen!V44</f>
        <v/>
      </c>
      <c r="J44" s="40">
        <f>Verrechnung!J44-Selbstkosten!J44-Rückstellungen!J44-Rückstellungen!W44</f>
        <v/>
      </c>
      <c r="K44" s="40">
        <f>Verrechnung!K44-Selbstkosten!K44-Rückstellungen!K44-Rückstellungen!X44</f>
        <v/>
      </c>
      <c r="L44" s="40">
        <f>Verrechnung!L44-Selbstkosten!L44-Rückstellungen!L44-Rückstellungen!Y44</f>
        <v/>
      </c>
      <c r="M44" s="40">
        <f>Verrechnung!M44-Selbstkosten!M44-Rückstellungen!M44-Rückstellungen!Z44</f>
        <v/>
      </c>
      <c r="N44" s="40">
        <f>Verrechnung!N44-Selbstkosten!N44-Rückstellungen!N44-Rückstellungen!AA44</f>
        <v/>
      </c>
      <c r="O44" s="40">
        <f>Verrechnung!O44-Selbstkosten!O44-Rückstellungen!O44-Rückstellungen!AB44</f>
        <v/>
      </c>
      <c r="P44" s="28">
        <f>SUM(D44:O44)</f>
        <v/>
      </c>
      <c r="Q44" s="80">
        <f>Verrechnung!P44</f>
        <v/>
      </c>
      <c r="R44" s="29">
        <f>IFERROR(P44/Q44,0)</f>
        <v/>
      </c>
      <c r="S44" s="81">
        <f>RANK(P44,$P$9:$P$108,0)</f>
        <v/>
      </c>
      <c r="T44" s="82">
        <f>IF(P44&lt;0,RANK(P44,$P$9:$P$108,1),"")</f>
        <v/>
      </c>
    </row>
    <row r="45">
      <c r="A45" s="71">
        <f>Stammdaten!A45</f>
        <v/>
      </c>
      <c r="B45" s="72">
        <f>Stammdaten!B45</f>
        <v/>
      </c>
      <c r="C45" s="72">
        <f>Stammdaten!C45</f>
        <v/>
      </c>
      <c r="D45" s="40">
        <f>Verrechnung!D45-Selbstkosten!D45-Rückstellungen!D45-Rückstellungen!Q45</f>
        <v/>
      </c>
      <c r="E45" s="40">
        <f>Verrechnung!E45-Selbstkosten!E45-Rückstellungen!E45-Rückstellungen!R45</f>
        <v/>
      </c>
      <c r="F45" s="40">
        <f>Verrechnung!F45-Selbstkosten!F45-Rückstellungen!F45-Rückstellungen!S45</f>
        <v/>
      </c>
      <c r="G45" s="40">
        <f>Verrechnung!G45-Selbstkosten!G45-Rückstellungen!G45-Rückstellungen!T45</f>
        <v/>
      </c>
      <c r="H45" s="40">
        <f>Verrechnung!H45-Selbstkosten!H45-Rückstellungen!H45-Rückstellungen!U45</f>
        <v/>
      </c>
      <c r="I45" s="40">
        <f>Verrechnung!I45-Selbstkosten!I45-Rückstellungen!I45-Rückstellungen!V45</f>
        <v/>
      </c>
      <c r="J45" s="40">
        <f>Verrechnung!J45-Selbstkosten!J45-Rückstellungen!J45-Rückstellungen!W45</f>
        <v/>
      </c>
      <c r="K45" s="40">
        <f>Verrechnung!K45-Selbstkosten!K45-Rückstellungen!K45-Rückstellungen!X45</f>
        <v/>
      </c>
      <c r="L45" s="40">
        <f>Verrechnung!L45-Selbstkosten!L45-Rückstellungen!L45-Rückstellungen!Y45</f>
        <v/>
      </c>
      <c r="M45" s="40">
        <f>Verrechnung!M45-Selbstkosten!M45-Rückstellungen!M45-Rückstellungen!Z45</f>
        <v/>
      </c>
      <c r="N45" s="40">
        <f>Verrechnung!N45-Selbstkosten!N45-Rückstellungen!N45-Rückstellungen!AA45</f>
        <v/>
      </c>
      <c r="O45" s="40">
        <f>Verrechnung!O45-Selbstkosten!O45-Rückstellungen!O45-Rückstellungen!AB45</f>
        <v/>
      </c>
      <c r="P45" s="28">
        <f>SUM(D45:O45)</f>
        <v/>
      </c>
      <c r="Q45" s="80">
        <f>Verrechnung!P45</f>
        <v/>
      </c>
      <c r="R45" s="29">
        <f>IFERROR(P45/Q45,0)</f>
        <v/>
      </c>
      <c r="S45" s="81">
        <f>RANK(P45,$P$9:$P$108,0)</f>
        <v/>
      </c>
      <c r="T45" s="82">
        <f>IF(P45&lt;0,RANK(P45,$P$9:$P$108,1),"")</f>
        <v/>
      </c>
    </row>
    <row r="46">
      <c r="A46" s="71">
        <f>Stammdaten!A46</f>
        <v/>
      </c>
      <c r="B46" s="72">
        <f>Stammdaten!B46</f>
        <v/>
      </c>
      <c r="C46" s="72">
        <f>Stammdaten!C46</f>
        <v/>
      </c>
      <c r="D46" s="40">
        <f>Verrechnung!D46-Selbstkosten!D46-Rückstellungen!D46-Rückstellungen!Q46</f>
        <v/>
      </c>
      <c r="E46" s="40">
        <f>Verrechnung!E46-Selbstkosten!E46-Rückstellungen!E46-Rückstellungen!R46</f>
        <v/>
      </c>
      <c r="F46" s="40">
        <f>Verrechnung!F46-Selbstkosten!F46-Rückstellungen!F46-Rückstellungen!S46</f>
        <v/>
      </c>
      <c r="G46" s="40">
        <f>Verrechnung!G46-Selbstkosten!G46-Rückstellungen!G46-Rückstellungen!T46</f>
        <v/>
      </c>
      <c r="H46" s="40">
        <f>Verrechnung!H46-Selbstkosten!H46-Rückstellungen!H46-Rückstellungen!U46</f>
        <v/>
      </c>
      <c r="I46" s="40">
        <f>Verrechnung!I46-Selbstkosten!I46-Rückstellungen!I46-Rückstellungen!V46</f>
        <v/>
      </c>
      <c r="J46" s="40">
        <f>Verrechnung!J46-Selbstkosten!J46-Rückstellungen!J46-Rückstellungen!W46</f>
        <v/>
      </c>
      <c r="K46" s="40">
        <f>Verrechnung!K46-Selbstkosten!K46-Rückstellungen!K46-Rückstellungen!X46</f>
        <v/>
      </c>
      <c r="L46" s="40">
        <f>Verrechnung!L46-Selbstkosten!L46-Rückstellungen!L46-Rückstellungen!Y46</f>
        <v/>
      </c>
      <c r="M46" s="40">
        <f>Verrechnung!M46-Selbstkosten!M46-Rückstellungen!M46-Rückstellungen!Z46</f>
        <v/>
      </c>
      <c r="N46" s="40">
        <f>Verrechnung!N46-Selbstkosten!N46-Rückstellungen!N46-Rückstellungen!AA46</f>
        <v/>
      </c>
      <c r="O46" s="40">
        <f>Verrechnung!O46-Selbstkosten!O46-Rückstellungen!O46-Rückstellungen!AB46</f>
        <v/>
      </c>
      <c r="P46" s="28">
        <f>SUM(D46:O46)</f>
        <v/>
      </c>
      <c r="Q46" s="80">
        <f>Verrechnung!P46</f>
        <v/>
      </c>
      <c r="R46" s="29">
        <f>IFERROR(P46/Q46,0)</f>
        <v/>
      </c>
      <c r="S46" s="81">
        <f>RANK(P46,$P$9:$P$108,0)</f>
        <v/>
      </c>
      <c r="T46" s="82">
        <f>IF(P46&lt;0,RANK(P46,$P$9:$P$108,1),"")</f>
        <v/>
      </c>
    </row>
    <row r="47">
      <c r="A47" s="71">
        <f>Stammdaten!A47</f>
        <v/>
      </c>
      <c r="B47" s="72">
        <f>Stammdaten!B47</f>
        <v/>
      </c>
      <c r="C47" s="72">
        <f>Stammdaten!C47</f>
        <v/>
      </c>
      <c r="D47" s="40">
        <f>Verrechnung!D47-Selbstkosten!D47-Rückstellungen!D47-Rückstellungen!Q47</f>
        <v/>
      </c>
      <c r="E47" s="40">
        <f>Verrechnung!E47-Selbstkosten!E47-Rückstellungen!E47-Rückstellungen!R47</f>
        <v/>
      </c>
      <c r="F47" s="40">
        <f>Verrechnung!F47-Selbstkosten!F47-Rückstellungen!F47-Rückstellungen!S47</f>
        <v/>
      </c>
      <c r="G47" s="40">
        <f>Verrechnung!G47-Selbstkosten!G47-Rückstellungen!G47-Rückstellungen!T47</f>
        <v/>
      </c>
      <c r="H47" s="40">
        <f>Verrechnung!H47-Selbstkosten!H47-Rückstellungen!H47-Rückstellungen!U47</f>
        <v/>
      </c>
      <c r="I47" s="40">
        <f>Verrechnung!I47-Selbstkosten!I47-Rückstellungen!I47-Rückstellungen!V47</f>
        <v/>
      </c>
      <c r="J47" s="40">
        <f>Verrechnung!J47-Selbstkosten!J47-Rückstellungen!J47-Rückstellungen!W47</f>
        <v/>
      </c>
      <c r="K47" s="40">
        <f>Verrechnung!K47-Selbstkosten!K47-Rückstellungen!K47-Rückstellungen!X47</f>
        <v/>
      </c>
      <c r="L47" s="40">
        <f>Verrechnung!L47-Selbstkosten!L47-Rückstellungen!L47-Rückstellungen!Y47</f>
        <v/>
      </c>
      <c r="M47" s="40">
        <f>Verrechnung!M47-Selbstkosten!M47-Rückstellungen!M47-Rückstellungen!Z47</f>
        <v/>
      </c>
      <c r="N47" s="40">
        <f>Verrechnung!N47-Selbstkosten!N47-Rückstellungen!N47-Rückstellungen!AA47</f>
        <v/>
      </c>
      <c r="O47" s="40">
        <f>Verrechnung!O47-Selbstkosten!O47-Rückstellungen!O47-Rückstellungen!AB47</f>
        <v/>
      </c>
      <c r="P47" s="28">
        <f>SUM(D47:O47)</f>
        <v/>
      </c>
      <c r="Q47" s="80">
        <f>Verrechnung!P47</f>
        <v/>
      </c>
      <c r="R47" s="29">
        <f>IFERROR(P47/Q47,0)</f>
        <v/>
      </c>
      <c r="S47" s="81">
        <f>RANK(P47,$P$9:$P$108,0)</f>
        <v/>
      </c>
      <c r="T47" s="82">
        <f>IF(P47&lt;0,RANK(P47,$P$9:$P$108,1),"")</f>
        <v/>
      </c>
    </row>
    <row r="48">
      <c r="A48" s="71">
        <f>Stammdaten!A48</f>
        <v/>
      </c>
      <c r="B48" s="72">
        <f>Stammdaten!B48</f>
        <v/>
      </c>
      <c r="C48" s="72">
        <f>Stammdaten!C48</f>
        <v/>
      </c>
      <c r="D48" s="40">
        <f>Verrechnung!D48-Selbstkosten!D48-Rückstellungen!D48-Rückstellungen!Q48</f>
        <v/>
      </c>
      <c r="E48" s="40">
        <f>Verrechnung!E48-Selbstkosten!E48-Rückstellungen!E48-Rückstellungen!R48</f>
        <v/>
      </c>
      <c r="F48" s="40">
        <f>Verrechnung!F48-Selbstkosten!F48-Rückstellungen!F48-Rückstellungen!S48</f>
        <v/>
      </c>
      <c r="G48" s="40">
        <f>Verrechnung!G48-Selbstkosten!G48-Rückstellungen!G48-Rückstellungen!T48</f>
        <v/>
      </c>
      <c r="H48" s="40">
        <f>Verrechnung!H48-Selbstkosten!H48-Rückstellungen!H48-Rückstellungen!U48</f>
        <v/>
      </c>
      <c r="I48" s="40">
        <f>Verrechnung!I48-Selbstkosten!I48-Rückstellungen!I48-Rückstellungen!V48</f>
        <v/>
      </c>
      <c r="J48" s="40">
        <f>Verrechnung!J48-Selbstkosten!J48-Rückstellungen!J48-Rückstellungen!W48</f>
        <v/>
      </c>
      <c r="K48" s="40">
        <f>Verrechnung!K48-Selbstkosten!K48-Rückstellungen!K48-Rückstellungen!X48</f>
        <v/>
      </c>
      <c r="L48" s="40">
        <f>Verrechnung!L48-Selbstkosten!L48-Rückstellungen!L48-Rückstellungen!Y48</f>
        <v/>
      </c>
      <c r="M48" s="40">
        <f>Verrechnung!M48-Selbstkosten!M48-Rückstellungen!M48-Rückstellungen!Z48</f>
        <v/>
      </c>
      <c r="N48" s="40">
        <f>Verrechnung!N48-Selbstkosten!N48-Rückstellungen!N48-Rückstellungen!AA48</f>
        <v/>
      </c>
      <c r="O48" s="40">
        <f>Verrechnung!O48-Selbstkosten!O48-Rückstellungen!O48-Rückstellungen!AB48</f>
        <v/>
      </c>
      <c r="P48" s="28">
        <f>SUM(D48:O48)</f>
        <v/>
      </c>
      <c r="Q48" s="80">
        <f>Verrechnung!P48</f>
        <v/>
      </c>
      <c r="R48" s="29">
        <f>IFERROR(P48/Q48,0)</f>
        <v/>
      </c>
      <c r="S48" s="81">
        <f>RANK(P48,$P$9:$P$108,0)</f>
        <v/>
      </c>
      <c r="T48" s="82">
        <f>IF(P48&lt;0,RANK(P48,$P$9:$P$108,1),"")</f>
        <v/>
      </c>
    </row>
    <row r="49">
      <c r="A49" s="68">
        <f>Stammdaten!A49</f>
        <v/>
      </c>
      <c r="B49" s="69">
        <f>Stammdaten!B49</f>
        <v/>
      </c>
      <c r="C49" s="69">
        <f>Stammdaten!C49</f>
        <v/>
      </c>
      <c r="D49" s="40">
        <f>Verrechnung!D49-Selbstkosten!D49-Rückstellungen!D49-Rückstellungen!Q49</f>
        <v/>
      </c>
      <c r="E49" s="40">
        <f>Verrechnung!E49-Selbstkosten!E49-Rückstellungen!E49-Rückstellungen!R49</f>
        <v/>
      </c>
      <c r="F49" s="40">
        <f>Verrechnung!F49-Selbstkosten!F49-Rückstellungen!F49-Rückstellungen!S49</f>
        <v/>
      </c>
      <c r="G49" s="40">
        <f>Verrechnung!G49-Selbstkosten!G49-Rückstellungen!G49-Rückstellungen!T49</f>
        <v/>
      </c>
      <c r="H49" s="40">
        <f>Verrechnung!H49-Selbstkosten!H49-Rückstellungen!H49-Rückstellungen!U49</f>
        <v/>
      </c>
      <c r="I49" s="40">
        <f>Verrechnung!I49-Selbstkosten!I49-Rückstellungen!I49-Rückstellungen!V49</f>
        <v/>
      </c>
      <c r="J49" s="40">
        <f>Verrechnung!J49-Selbstkosten!J49-Rückstellungen!J49-Rückstellungen!W49</f>
        <v/>
      </c>
      <c r="K49" s="40">
        <f>Verrechnung!K49-Selbstkosten!K49-Rückstellungen!K49-Rückstellungen!X49</f>
        <v/>
      </c>
      <c r="L49" s="40">
        <f>Verrechnung!L49-Selbstkosten!L49-Rückstellungen!L49-Rückstellungen!Y49</f>
        <v/>
      </c>
      <c r="M49" s="40">
        <f>Verrechnung!M49-Selbstkosten!M49-Rückstellungen!M49-Rückstellungen!Z49</f>
        <v/>
      </c>
      <c r="N49" s="40">
        <f>Verrechnung!N49-Selbstkosten!N49-Rückstellungen!N49-Rückstellungen!AA49</f>
        <v/>
      </c>
      <c r="O49" s="40">
        <f>Verrechnung!O49-Selbstkosten!O49-Rückstellungen!O49-Rückstellungen!AB49</f>
        <v/>
      </c>
      <c r="P49" s="28">
        <f>SUM(D49:O49)</f>
        <v/>
      </c>
      <c r="Q49" s="80">
        <f>Verrechnung!P49</f>
        <v/>
      </c>
      <c r="R49" s="29">
        <f>IFERROR(P49/Q49,0)</f>
        <v/>
      </c>
      <c r="S49" s="81">
        <f>RANK(P49,$P$9:$P$108,0)</f>
        <v/>
      </c>
      <c r="T49" s="82">
        <f>IF(P49&lt;0,RANK(P49,$P$9:$P$108,1),"")</f>
        <v/>
      </c>
    </row>
    <row r="50">
      <c r="A50" s="68">
        <f>Stammdaten!A50</f>
        <v/>
      </c>
      <c r="B50" s="69">
        <f>Stammdaten!B50</f>
        <v/>
      </c>
      <c r="C50" s="69">
        <f>Stammdaten!C50</f>
        <v/>
      </c>
      <c r="D50" s="40">
        <f>Verrechnung!D50-Selbstkosten!D50-Rückstellungen!D50-Rückstellungen!Q50</f>
        <v/>
      </c>
      <c r="E50" s="40">
        <f>Verrechnung!E50-Selbstkosten!E50-Rückstellungen!E50-Rückstellungen!R50</f>
        <v/>
      </c>
      <c r="F50" s="40">
        <f>Verrechnung!F50-Selbstkosten!F50-Rückstellungen!F50-Rückstellungen!S50</f>
        <v/>
      </c>
      <c r="G50" s="40">
        <f>Verrechnung!G50-Selbstkosten!G50-Rückstellungen!G50-Rückstellungen!T50</f>
        <v/>
      </c>
      <c r="H50" s="40">
        <f>Verrechnung!H50-Selbstkosten!H50-Rückstellungen!H50-Rückstellungen!U50</f>
        <v/>
      </c>
      <c r="I50" s="40">
        <f>Verrechnung!I50-Selbstkosten!I50-Rückstellungen!I50-Rückstellungen!V50</f>
        <v/>
      </c>
      <c r="J50" s="40">
        <f>Verrechnung!J50-Selbstkosten!J50-Rückstellungen!J50-Rückstellungen!W50</f>
        <v/>
      </c>
      <c r="K50" s="40">
        <f>Verrechnung!K50-Selbstkosten!K50-Rückstellungen!K50-Rückstellungen!X50</f>
        <v/>
      </c>
      <c r="L50" s="40">
        <f>Verrechnung!L50-Selbstkosten!L50-Rückstellungen!L50-Rückstellungen!Y50</f>
        <v/>
      </c>
      <c r="M50" s="40">
        <f>Verrechnung!M50-Selbstkosten!M50-Rückstellungen!M50-Rückstellungen!Z50</f>
        <v/>
      </c>
      <c r="N50" s="40">
        <f>Verrechnung!N50-Selbstkosten!N50-Rückstellungen!N50-Rückstellungen!AA50</f>
        <v/>
      </c>
      <c r="O50" s="40">
        <f>Verrechnung!O50-Selbstkosten!O50-Rückstellungen!O50-Rückstellungen!AB50</f>
        <v/>
      </c>
      <c r="P50" s="28">
        <f>SUM(D50:O50)</f>
        <v/>
      </c>
      <c r="Q50" s="80">
        <f>Verrechnung!P50</f>
        <v/>
      </c>
      <c r="R50" s="29">
        <f>IFERROR(P50/Q50,0)</f>
        <v/>
      </c>
      <c r="S50" s="81">
        <f>RANK(P50,$P$9:$P$108,0)</f>
        <v/>
      </c>
      <c r="T50" s="82">
        <f>IF(P50&lt;0,RANK(P50,$P$9:$P$108,1),"")</f>
        <v/>
      </c>
    </row>
    <row r="51">
      <c r="A51" s="68">
        <f>Stammdaten!A51</f>
        <v/>
      </c>
      <c r="B51" s="69">
        <f>Stammdaten!B51</f>
        <v/>
      </c>
      <c r="C51" s="69">
        <f>Stammdaten!C51</f>
        <v/>
      </c>
      <c r="D51" s="40">
        <f>Verrechnung!D51-Selbstkosten!D51-Rückstellungen!D51-Rückstellungen!Q51</f>
        <v/>
      </c>
      <c r="E51" s="40">
        <f>Verrechnung!E51-Selbstkosten!E51-Rückstellungen!E51-Rückstellungen!R51</f>
        <v/>
      </c>
      <c r="F51" s="40">
        <f>Verrechnung!F51-Selbstkosten!F51-Rückstellungen!F51-Rückstellungen!S51</f>
        <v/>
      </c>
      <c r="G51" s="40">
        <f>Verrechnung!G51-Selbstkosten!G51-Rückstellungen!G51-Rückstellungen!T51</f>
        <v/>
      </c>
      <c r="H51" s="40">
        <f>Verrechnung!H51-Selbstkosten!H51-Rückstellungen!H51-Rückstellungen!U51</f>
        <v/>
      </c>
      <c r="I51" s="40">
        <f>Verrechnung!I51-Selbstkosten!I51-Rückstellungen!I51-Rückstellungen!V51</f>
        <v/>
      </c>
      <c r="J51" s="40">
        <f>Verrechnung!J51-Selbstkosten!J51-Rückstellungen!J51-Rückstellungen!W51</f>
        <v/>
      </c>
      <c r="K51" s="40">
        <f>Verrechnung!K51-Selbstkosten!K51-Rückstellungen!K51-Rückstellungen!X51</f>
        <v/>
      </c>
      <c r="L51" s="40">
        <f>Verrechnung!L51-Selbstkosten!L51-Rückstellungen!L51-Rückstellungen!Y51</f>
        <v/>
      </c>
      <c r="M51" s="40">
        <f>Verrechnung!M51-Selbstkosten!M51-Rückstellungen!M51-Rückstellungen!Z51</f>
        <v/>
      </c>
      <c r="N51" s="40">
        <f>Verrechnung!N51-Selbstkosten!N51-Rückstellungen!N51-Rückstellungen!AA51</f>
        <v/>
      </c>
      <c r="O51" s="40">
        <f>Verrechnung!O51-Selbstkosten!O51-Rückstellungen!O51-Rückstellungen!AB51</f>
        <v/>
      </c>
      <c r="P51" s="28">
        <f>SUM(D51:O51)</f>
        <v/>
      </c>
      <c r="Q51" s="80">
        <f>Verrechnung!P51</f>
        <v/>
      </c>
      <c r="R51" s="29">
        <f>IFERROR(P51/Q51,0)</f>
        <v/>
      </c>
      <c r="S51" s="81">
        <f>RANK(P51,$P$9:$P$108,0)</f>
        <v/>
      </c>
      <c r="T51" s="82">
        <f>IF(P51&lt;0,RANK(P51,$P$9:$P$108,1),"")</f>
        <v/>
      </c>
    </row>
    <row r="52">
      <c r="A52" s="68">
        <f>Stammdaten!A52</f>
        <v/>
      </c>
      <c r="B52" s="69">
        <f>Stammdaten!B52</f>
        <v/>
      </c>
      <c r="C52" s="69">
        <f>Stammdaten!C52</f>
        <v/>
      </c>
      <c r="D52" s="40">
        <f>Verrechnung!D52-Selbstkosten!D52-Rückstellungen!D52-Rückstellungen!Q52</f>
        <v/>
      </c>
      <c r="E52" s="40">
        <f>Verrechnung!E52-Selbstkosten!E52-Rückstellungen!E52-Rückstellungen!R52</f>
        <v/>
      </c>
      <c r="F52" s="40">
        <f>Verrechnung!F52-Selbstkosten!F52-Rückstellungen!F52-Rückstellungen!S52</f>
        <v/>
      </c>
      <c r="G52" s="40">
        <f>Verrechnung!G52-Selbstkosten!G52-Rückstellungen!G52-Rückstellungen!T52</f>
        <v/>
      </c>
      <c r="H52" s="40">
        <f>Verrechnung!H52-Selbstkosten!H52-Rückstellungen!H52-Rückstellungen!U52</f>
        <v/>
      </c>
      <c r="I52" s="40">
        <f>Verrechnung!I52-Selbstkosten!I52-Rückstellungen!I52-Rückstellungen!V52</f>
        <v/>
      </c>
      <c r="J52" s="40">
        <f>Verrechnung!J52-Selbstkosten!J52-Rückstellungen!J52-Rückstellungen!W52</f>
        <v/>
      </c>
      <c r="K52" s="40">
        <f>Verrechnung!K52-Selbstkosten!K52-Rückstellungen!K52-Rückstellungen!X52</f>
        <v/>
      </c>
      <c r="L52" s="40">
        <f>Verrechnung!L52-Selbstkosten!L52-Rückstellungen!L52-Rückstellungen!Y52</f>
        <v/>
      </c>
      <c r="M52" s="40">
        <f>Verrechnung!M52-Selbstkosten!M52-Rückstellungen!M52-Rückstellungen!Z52</f>
        <v/>
      </c>
      <c r="N52" s="40">
        <f>Verrechnung!N52-Selbstkosten!N52-Rückstellungen!N52-Rückstellungen!AA52</f>
        <v/>
      </c>
      <c r="O52" s="40">
        <f>Verrechnung!O52-Selbstkosten!O52-Rückstellungen!O52-Rückstellungen!AB52</f>
        <v/>
      </c>
      <c r="P52" s="28">
        <f>SUM(D52:O52)</f>
        <v/>
      </c>
      <c r="Q52" s="80">
        <f>Verrechnung!P52</f>
        <v/>
      </c>
      <c r="R52" s="29">
        <f>IFERROR(P52/Q52,0)</f>
        <v/>
      </c>
      <c r="S52" s="81">
        <f>RANK(P52,$P$9:$P$108,0)</f>
        <v/>
      </c>
      <c r="T52" s="82">
        <f>IF(P52&lt;0,RANK(P52,$P$9:$P$108,1),"")</f>
        <v/>
      </c>
    </row>
    <row r="53">
      <c r="A53" s="68">
        <f>Stammdaten!A53</f>
        <v/>
      </c>
      <c r="B53" s="69">
        <f>Stammdaten!B53</f>
        <v/>
      </c>
      <c r="C53" s="69">
        <f>Stammdaten!C53</f>
        <v/>
      </c>
      <c r="D53" s="40">
        <f>Verrechnung!D53-Selbstkosten!D53-Rückstellungen!D53-Rückstellungen!Q53</f>
        <v/>
      </c>
      <c r="E53" s="40">
        <f>Verrechnung!E53-Selbstkosten!E53-Rückstellungen!E53-Rückstellungen!R53</f>
        <v/>
      </c>
      <c r="F53" s="40">
        <f>Verrechnung!F53-Selbstkosten!F53-Rückstellungen!F53-Rückstellungen!S53</f>
        <v/>
      </c>
      <c r="G53" s="40">
        <f>Verrechnung!G53-Selbstkosten!G53-Rückstellungen!G53-Rückstellungen!T53</f>
        <v/>
      </c>
      <c r="H53" s="40">
        <f>Verrechnung!H53-Selbstkosten!H53-Rückstellungen!H53-Rückstellungen!U53</f>
        <v/>
      </c>
      <c r="I53" s="40">
        <f>Verrechnung!I53-Selbstkosten!I53-Rückstellungen!I53-Rückstellungen!V53</f>
        <v/>
      </c>
      <c r="J53" s="40">
        <f>Verrechnung!J53-Selbstkosten!J53-Rückstellungen!J53-Rückstellungen!W53</f>
        <v/>
      </c>
      <c r="K53" s="40">
        <f>Verrechnung!K53-Selbstkosten!K53-Rückstellungen!K53-Rückstellungen!X53</f>
        <v/>
      </c>
      <c r="L53" s="40">
        <f>Verrechnung!L53-Selbstkosten!L53-Rückstellungen!L53-Rückstellungen!Y53</f>
        <v/>
      </c>
      <c r="M53" s="40">
        <f>Verrechnung!M53-Selbstkosten!M53-Rückstellungen!M53-Rückstellungen!Z53</f>
        <v/>
      </c>
      <c r="N53" s="40">
        <f>Verrechnung!N53-Selbstkosten!N53-Rückstellungen!N53-Rückstellungen!AA53</f>
        <v/>
      </c>
      <c r="O53" s="40">
        <f>Verrechnung!O53-Selbstkosten!O53-Rückstellungen!O53-Rückstellungen!AB53</f>
        <v/>
      </c>
      <c r="P53" s="28">
        <f>SUM(D53:O53)</f>
        <v/>
      </c>
      <c r="Q53" s="80">
        <f>Verrechnung!P53</f>
        <v/>
      </c>
      <c r="R53" s="29">
        <f>IFERROR(P53/Q53,0)</f>
        <v/>
      </c>
      <c r="S53" s="81">
        <f>RANK(P53,$P$9:$P$108,0)</f>
        <v/>
      </c>
      <c r="T53" s="82">
        <f>IF(P53&lt;0,RANK(P53,$P$9:$P$108,1),"")</f>
        <v/>
      </c>
    </row>
    <row r="54">
      <c r="A54" s="68">
        <f>Stammdaten!A54</f>
        <v/>
      </c>
      <c r="B54" s="69">
        <f>Stammdaten!B54</f>
        <v/>
      </c>
      <c r="C54" s="69">
        <f>Stammdaten!C54</f>
        <v/>
      </c>
      <c r="D54" s="40">
        <f>Verrechnung!D54-Selbstkosten!D54-Rückstellungen!D54-Rückstellungen!Q54</f>
        <v/>
      </c>
      <c r="E54" s="40">
        <f>Verrechnung!E54-Selbstkosten!E54-Rückstellungen!E54-Rückstellungen!R54</f>
        <v/>
      </c>
      <c r="F54" s="40">
        <f>Verrechnung!F54-Selbstkosten!F54-Rückstellungen!F54-Rückstellungen!S54</f>
        <v/>
      </c>
      <c r="G54" s="40">
        <f>Verrechnung!G54-Selbstkosten!G54-Rückstellungen!G54-Rückstellungen!T54</f>
        <v/>
      </c>
      <c r="H54" s="40">
        <f>Verrechnung!H54-Selbstkosten!H54-Rückstellungen!H54-Rückstellungen!U54</f>
        <v/>
      </c>
      <c r="I54" s="40">
        <f>Verrechnung!I54-Selbstkosten!I54-Rückstellungen!I54-Rückstellungen!V54</f>
        <v/>
      </c>
      <c r="J54" s="40">
        <f>Verrechnung!J54-Selbstkosten!J54-Rückstellungen!J54-Rückstellungen!W54</f>
        <v/>
      </c>
      <c r="K54" s="40">
        <f>Verrechnung!K54-Selbstkosten!K54-Rückstellungen!K54-Rückstellungen!X54</f>
        <v/>
      </c>
      <c r="L54" s="40">
        <f>Verrechnung!L54-Selbstkosten!L54-Rückstellungen!L54-Rückstellungen!Y54</f>
        <v/>
      </c>
      <c r="M54" s="40">
        <f>Verrechnung!M54-Selbstkosten!M54-Rückstellungen!M54-Rückstellungen!Z54</f>
        <v/>
      </c>
      <c r="N54" s="40">
        <f>Verrechnung!N54-Selbstkosten!N54-Rückstellungen!N54-Rückstellungen!AA54</f>
        <v/>
      </c>
      <c r="O54" s="40">
        <f>Verrechnung!O54-Selbstkosten!O54-Rückstellungen!O54-Rückstellungen!AB54</f>
        <v/>
      </c>
      <c r="P54" s="28">
        <f>SUM(D54:O54)</f>
        <v/>
      </c>
      <c r="Q54" s="80">
        <f>Verrechnung!P54</f>
        <v/>
      </c>
      <c r="R54" s="29">
        <f>IFERROR(P54/Q54,0)</f>
        <v/>
      </c>
      <c r="S54" s="81">
        <f>RANK(P54,$P$9:$P$108,0)</f>
        <v/>
      </c>
      <c r="T54" s="82">
        <f>IF(P54&lt;0,RANK(P54,$P$9:$P$108,1),"")</f>
        <v/>
      </c>
    </row>
    <row r="55">
      <c r="A55" s="68">
        <f>Stammdaten!A55</f>
        <v/>
      </c>
      <c r="B55" s="69">
        <f>Stammdaten!B55</f>
        <v/>
      </c>
      <c r="C55" s="69">
        <f>Stammdaten!C55</f>
        <v/>
      </c>
      <c r="D55" s="40">
        <f>Verrechnung!D55-Selbstkosten!D55-Rückstellungen!D55-Rückstellungen!Q55</f>
        <v/>
      </c>
      <c r="E55" s="40">
        <f>Verrechnung!E55-Selbstkosten!E55-Rückstellungen!E55-Rückstellungen!R55</f>
        <v/>
      </c>
      <c r="F55" s="40">
        <f>Verrechnung!F55-Selbstkosten!F55-Rückstellungen!F55-Rückstellungen!S55</f>
        <v/>
      </c>
      <c r="G55" s="40">
        <f>Verrechnung!G55-Selbstkosten!G55-Rückstellungen!G55-Rückstellungen!T55</f>
        <v/>
      </c>
      <c r="H55" s="40">
        <f>Verrechnung!H55-Selbstkosten!H55-Rückstellungen!H55-Rückstellungen!U55</f>
        <v/>
      </c>
      <c r="I55" s="40">
        <f>Verrechnung!I55-Selbstkosten!I55-Rückstellungen!I55-Rückstellungen!V55</f>
        <v/>
      </c>
      <c r="J55" s="40">
        <f>Verrechnung!J55-Selbstkosten!J55-Rückstellungen!J55-Rückstellungen!W55</f>
        <v/>
      </c>
      <c r="K55" s="40">
        <f>Verrechnung!K55-Selbstkosten!K55-Rückstellungen!K55-Rückstellungen!X55</f>
        <v/>
      </c>
      <c r="L55" s="40">
        <f>Verrechnung!L55-Selbstkosten!L55-Rückstellungen!L55-Rückstellungen!Y55</f>
        <v/>
      </c>
      <c r="M55" s="40">
        <f>Verrechnung!M55-Selbstkosten!M55-Rückstellungen!M55-Rückstellungen!Z55</f>
        <v/>
      </c>
      <c r="N55" s="40">
        <f>Verrechnung!N55-Selbstkosten!N55-Rückstellungen!N55-Rückstellungen!AA55</f>
        <v/>
      </c>
      <c r="O55" s="40">
        <f>Verrechnung!O55-Selbstkosten!O55-Rückstellungen!O55-Rückstellungen!AB55</f>
        <v/>
      </c>
      <c r="P55" s="28">
        <f>SUM(D55:O55)</f>
        <v/>
      </c>
      <c r="Q55" s="80">
        <f>Verrechnung!P55</f>
        <v/>
      </c>
      <c r="R55" s="29">
        <f>IFERROR(P55/Q55,0)</f>
        <v/>
      </c>
      <c r="S55" s="81">
        <f>RANK(P55,$P$9:$P$108,0)</f>
        <v/>
      </c>
      <c r="T55" s="82">
        <f>IF(P55&lt;0,RANK(P55,$P$9:$P$108,1),"")</f>
        <v/>
      </c>
    </row>
    <row r="56">
      <c r="A56" s="68">
        <f>Stammdaten!A56</f>
        <v/>
      </c>
      <c r="B56" s="69">
        <f>Stammdaten!B56</f>
        <v/>
      </c>
      <c r="C56" s="69">
        <f>Stammdaten!C56</f>
        <v/>
      </c>
      <c r="D56" s="40">
        <f>Verrechnung!D56-Selbstkosten!D56-Rückstellungen!D56-Rückstellungen!Q56</f>
        <v/>
      </c>
      <c r="E56" s="40">
        <f>Verrechnung!E56-Selbstkosten!E56-Rückstellungen!E56-Rückstellungen!R56</f>
        <v/>
      </c>
      <c r="F56" s="40">
        <f>Verrechnung!F56-Selbstkosten!F56-Rückstellungen!F56-Rückstellungen!S56</f>
        <v/>
      </c>
      <c r="G56" s="40">
        <f>Verrechnung!G56-Selbstkosten!G56-Rückstellungen!G56-Rückstellungen!T56</f>
        <v/>
      </c>
      <c r="H56" s="40">
        <f>Verrechnung!H56-Selbstkosten!H56-Rückstellungen!H56-Rückstellungen!U56</f>
        <v/>
      </c>
      <c r="I56" s="40">
        <f>Verrechnung!I56-Selbstkosten!I56-Rückstellungen!I56-Rückstellungen!V56</f>
        <v/>
      </c>
      <c r="J56" s="40">
        <f>Verrechnung!J56-Selbstkosten!J56-Rückstellungen!J56-Rückstellungen!W56</f>
        <v/>
      </c>
      <c r="K56" s="40">
        <f>Verrechnung!K56-Selbstkosten!K56-Rückstellungen!K56-Rückstellungen!X56</f>
        <v/>
      </c>
      <c r="L56" s="40">
        <f>Verrechnung!L56-Selbstkosten!L56-Rückstellungen!L56-Rückstellungen!Y56</f>
        <v/>
      </c>
      <c r="M56" s="40">
        <f>Verrechnung!M56-Selbstkosten!M56-Rückstellungen!M56-Rückstellungen!Z56</f>
        <v/>
      </c>
      <c r="N56" s="40">
        <f>Verrechnung!N56-Selbstkosten!N56-Rückstellungen!N56-Rückstellungen!AA56</f>
        <v/>
      </c>
      <c r="O56" s="40">
        <f>Verrechnung!O56-Selbstkosten!O56-Rückstellungen!O56-Rückstellungen!AB56</f>
        <v/>
      </c>
      <c r="P56" s="28">
        <f>SUM(D56:O56)</f>
        <v/>
      </c>
      <c r="Q56" s="80">
        <f>Verrechnung!P56</f>
        <v/>
      </c>
      <c r="R56" s="29">
        <f>IFERROR(P56/Q56,0)</f>
        <v/>
      </c>
      <c r="S56" s="81">
        <f>RANK(P56,$P$9:$P$108,0)</f>
        <v/>
      </c>
      <c r="T56" s="82">
        <f>IF(P56&lt;0,RANK(P56,$P$9:$P$108,1),"")</f>
        <v/>
      </c>
    </row>
    <row r="57">
      <c r="A57" s="68">
        <f>Stammdaten!A57</f>
        <v/>
      </c>
      <c r="B57" s="69">
        <f>Stammdaten!B57</f>
        <v/>
      </c>
      <c r="C57" s="69">
        <f>Stammdaten!C57</f>
        <v/>
      </c>
      <c r="D57" s="40">
        <f>Verrechnung!D57-Selbstkosten!D57-Rückstellungen!D57-Rückstellungen!Q57</f>
        <v/>
      </c>
      <c r="E57" s="40">
        <f>Verrechnung!E57-Selbstkosten!E57-Rückstellungen!E57-Rückstellungen!R57</f>
        <v/>
      </c>
      <c r="F57" s="40">
        <f>Verrechnung!F57-Selbstkosten!F57-Rückstellungen!F57-Rückstellungen!S57</f>
        <v/>
      </c>
      <c r="G57" s="40">
        <f>Verrechnung!G57-Selbstkosten!G57-Rückstellungen!G57-Rückstellungen!T57</f>
        <v/>
      </c>
      <c r="H57" s="40">
        <f>Verrechnung!H57-Selbstkosten!H57-Rückstellungen!H57-Rückstellungen!U57</f>
        <v/>
      </c>
      <c r="I57" s="40">
        <f>Verrechnung!I57-Selbstkosten!I57-Rückstellungen!I57-Rückstellungen!V57</f>
        <v/>
      </c>
      <c r="J57" s="40">
        <f>Verrechnung!J57-Selbstkosten!J57-Rückstellungen!J57-Rückstellungen!W57</f>
        <v/>
      </c>
      <c r="K57" s="40">
        <f>Verrechnung!K57-Selbstkosten!K57-Rückstellungen!K57-Rückstellungen!X57</f>
        <v/>
      </c>
      <c r="L57" s="40">
        <f>Verrechnung!L57-Selbstkosten!L57-Rückstellungen!L57-Rückstellungen!Y57</f>
        <v/>
      </c>
      <c r="M57" s="40">
        <f>Verrechnung!M57-Selbstkosten!M57-Rückstellungen!M57-Rückstellungen!Z57</f>
        <v/>
      </c>
      <c r="N57" s="40">
        <f>Verrechnung!N57-Selbstkosten!N57-Rückstellungen!N57-Rückstellungen!AA57</f>
        <v/>
      </c>
      <c r="O57" s="40">
        <f>Verrechnung!O57-Selbstkosten!O57-Rückstellungen!O57-Rückstellungen!AB57</f>
        <v/>
      </c>
      <c r="P57" s="28">
        <f>SUM(D57:O57)</f>
        <v/>
      </c>
      <c r="Q57" s="80">
        <f>Verrechnung!P57</f>
        <v/>
      </c>
      <c r="R57" s="29">
        <f>IFERROR(P57/Q57,0)</f>
        <v/>
      </c>
      <c r="S57" s="81">
        <f>RANK(P57,$P$9:$P$108,0)</f>
        <v/>
      </c>
      <c r="T57" s="82">
        <f>IF(P57&lt;0,RANK(P57,$P$9:$P$108,1),"")</f>
        <v/>
      </c>
    </row>
    <row r="58">
      <c r="A58" s="68">
        <f>Stammdaten!A58</f>
        <v/>
      </c>
      <c r="B58" s="69">
        <f>Stammdaten!B58</f>
        <v/>
      </c>
      <c r="C58" s="69">
        <f>Stammdaten!C58</f>
        <v/>
      </c>
      <c r="D58" s="40">
        <f>Verrechnung!D58-Selbstkosten!D58-Rückstellungen!D58-Rückstellungen!Q58</f>
        <v/>
      </c>
      <c r="E58" s="40">
        <f>Verrechnung!E58-Selbstkosten!E58-Rückstellungen!E58-Rückstellungen!R58</f>
        <v/>
      </c>
      <c r="F58" s="40">
        <f>Verrechnung!F58-Selbstkosten!F58-Rückstellungen!F58-Rückstellungen!S58</f>
        <v/>
      </c>
      <c r="G58" s="40">
        <f>Verrechnung!G58-Selbstkosten!G58-Rückstellungen!G58-Rückstellungen!T58</f>
        <v/>
      </c>
      <c r="H58" s="40">
        <f>Verrechnung!H58-Selbstkosten!H58-Rückstellungen!H58-Rückstellungen!U58</f>
        <v/>
      </c>
      <c r="I58" s="40">
        <f>Verrechnung!I58-Selbstkosten!I58-Rückstellungen!I58-Rückstellungen!V58</f>
        <v/>
      </c>
      <c r="J58" s="40">
        <f>Verrechnung!J58-Selbstkosten!J58-Rückstellungen!J58-Rückstellungen!W58</f>
        <v/>
      </c>
      <c r="K58" s="40">
        <f>Verrechnung!K58-Selbstkosten!K58-Rückstellungen!K58-Rückstellungen!X58</f>
        <v/>
      </c>
      <c r="L58" s="40">
        <f>Verrechnung!L58-Selbstkosten!L58-Rückstellungen!L58-Rückstellungen!Y58</f>
        <v/>
      </c>
      <c r="M58" s="40">
        <f>Verrechnung!M58-Selbstkosten!M58-Rückstellungen!M58-Rückstellungen!Z58</f>
        <v/>
      </c>
      <c r="N58" s="40">
        <f>Verrechnung!N58-Selbstkosten!N58-Rückstellungen!N58-Rückstellungen!AA58</f>
        <v/>
      </c>
      <c r="O58" s="40">
        <f>Verrechnung!O58-Selbstkosten!O58-Rückstellungen!O58-Rückstellungen!AB58</f>
        <v/>
      </c>
      <c r="P58" s="28">
        <f>SUM(D58:O58)</f>
        <v/>
      </c>
      <c r="Q58" s="80">
        <f>Verrechnung!P58</f>
        <v/>
      </c>
      <c r="R58" s="29">
        <f>IFERROR(P58/Q58,0)</f>
        <v/>
      </c>
      <c r="S58" s="81">
        <f>RANK(P58,$P$9:$P$108,0)</f>
        <v/>
      </c>
      <c r="T58" s="82">
        <f>IF(P58&lt;0,RANK(P58,$P$9:$P$108,1),"")</f>
        <v/>
      </c>
    </row>
    <row r="59">
      <c r="A59" s="71">
        <f>Stammdaten!A59</f>
        <v/>
      </c>
      <c r="B59" s="72">
        <f>Stammdaten!B59</f>
        <v/>
      </c>
      <c r="C59" s="72">
        <f>Stammdaten!C59</f>
        <v/>
      </c>
      <c r="D59" s="40">
        <f>Verrechnung!D59-Selbstkosten!D59-Rückstellungen!D59-Rückstellungen!Q59</f>
        <v/>
      </c>
      <c r="E59" s="40">
        <f>Verrechnung!E59-Selbstkosten!E59-Rückstellungen!E59-Rückstellungen!R59</f>
        <v/>
      </c>
      <c r="F59" s="40">
        <f>Verrechnung!F59-Selbstkosten!F59-Rückstellungen!F59-Rückstellungen!S59</f>
        <v/>
      </c>
      <c r="G59" s="40">
        <f>Verrechnung!G59-Selbstkosten!G59-Rückstellungen!G59-Rückstellungen!T59</f>
        <v/>
      </c>
      <c r="H59" s="40">
        <f>Verrechnung!H59-Selbstkosten!H59-Rückstellungen!H59-Rückstellungen!U59</f>
        <v/>
      </c>
      <c r="I59" s="40">
        <f>Verrechnung!I59-Selbstkosten!I59-Rückstellungen!I59-Rückstellungen!V59</f>
        <v/>
      </c>
      <c r="J59" s="40">
        <f>Verrechnung!J59-Selbstkosten!J59-Rückstellungen!J59-Rückstellungen!W59</f>
        <v/>
      </c>
      <c r="K59" s="40">
        <f>Verrechnung!K59-Selbstkosten!K59-Rückstellungen!K59-Rückstellungen!X59</f>
        <v/>
      </c>
      <c r="L59" s="40">
        <f>Verrechnung!L59-Selbstkosten!L59-Rückstellungen!L59-Rückstellungen!Y59</f>
        <v/>
      </c>
      <c r="M59" s="40">
        <f>Verrechnung!M59-Selbstkosten!M59-Rückstellungen!M59-Rückstellungen!Z59</f>
        <v/>
      </c>
      <c r="N59" s="40">
        <f>Verrechnung!N59-Selbstkosten!N59-Rückstellungen!N59-Rückstellungen!AA59</f>
        <v/>
      </c>
      <c r="O59" s="40">
        <f>Verrechnung!O59-Selbstkosten!O59-Rückstellungen!O59-Rückstellungen!AB59</f>
        <v/>
      </c>
      <c r="P59" s="28">
        <f>SUM(D59:O59)</f>
        <v/>
      </c>
      <c r="Q59" s="80">
        <f>Verrechnung!P59</f>
        <v/>
      </c>
      <c r="R59" s="29">
        <f>IFERROR(P59/Q59,0)</f>
        <v/>
      </c>
      <c r="S59" s="81">
        <f>RANK(P59,$P$9:$P$108,0)</f>
        <v/>
      </c>
      <c r="T59" s="82">
        <f>IF(P59&lt;0,RANK(P59,$P$9:$P$108,1),"")</f>
        <v/>
      </c>
    </row>
    <row r="60">
      <c r="A60" s="71">
        <f>Stammdaten!A60</f>
        <v/>
      </c>
      <c r="B60" s="72">
        <f>Stammdaten!B60</f>
        <v/>
      </c>
      <c r="C60" s="72">
        <f>Stammdaten!C60</f>
        <v/>
      </c>
      <c r="D60" s="40">
        <f>Verrechnung!D60-Selbstkosten!D60-Rückstellungen!D60-Rückstellungen!Q60</f>
        <v/>
      </c>
      <c r="E60" s="40">
        <f>Verrechnung!E60-Selbstkosten!E60-Rückstellungen!E60-Rückstellungen!R60</f>
        <v/>
      </c>
      <c r="F60" s="40">
        <f>Verrechnung!F60-Selbstkosten!F60-Rückstellungen!F60-Rückstellungen!S60</f>
        <v/>
      </c>
      <c r="G60" s="40">
        <f>Verrechnung!G60-Selbstkosten!G60-Rückstellungen!G60-Rückstellungen!T60</f>
        <v/>
      </c>
      <c r="H60" s="40">
        <f>Verrechnung!H60-Selbstkosten!H60-Rückstellungen!H60-Rückstellungen!U60</f>
        <v/>
      </c>
      <c r="I60" s="40">
        <f>Verrechnung!I60-Selbstkosten!I60-Rückstellungen!I60-Rückstellungen!V60</f>
        <v/>
      </c>
      <c r="J60" s="40">
        <f>Verrechnung!J60-Selbstkosten!J60-Rückstellungen!J60-Rückstellungen!W60</f>
        <v/>
      </c>
      <c r="K60" s="40">
        <f>Verrechnung!K60-Selbstkosten!K60-Rückstellungen!K60-Rückstellungen!X60</f>
        <v/>
      </c>
      <c r="L60" s="40">
        <f>Verrechnung!L60-Selbstkosten!L60-Rückstellungen!L60-Rückstellungen!Y60</f>
        <v/>
      </c>
      <c r="M60" s="40">
        <f>Verrechnung!M60-Selbstkosten!M60-Rückstellungen!M60-Rückstellungen!Z60</f>
        <v/>
      </c>
      <c r="N60" s="40">
        <f>Verrechnung!N60-Selbstkosten!N60-Rückstellungen!N60-Rückstellungen!AA60</f>
        <v/>
      </c>
      <c r="O60" s="40">
        <f>Verrechnung!O60-Selbstkosten!O60-Rückstellungen!O60-Rückstellungen!AB60</f>
        <v/>
      </c>
      <c r="P60" s="28">
        <f>SUM(D60:O60)</f>
        <v/>
      </c>
      <c r="Q60" s="80">
        <f>Verrechnung!P60</f>
        <v/>
      </c>
      <c r="R60" s="29">
        <f>IFERROR(P60/Q60,0)</f>
        <v/>
      </c>
      <c r="S60" s="81">
        <f>RANK(P60,$P$9:$P$108,0)</f>
        <v/>
      </c>
      <c r="T60" s="82">
        <f>IF(P60&lt;0,RANK(P60,$P$9:$P$108,1),"")</f>
        <v/>
      </c>
    </row>
    <row r="61">
      <c r="A61" s="71">
        <f>Stammdaten!A61</f>
        <v/>
      </c>
      <c r="B61" s="72">
        <f>Stammdaten!B61</f>
        <v/>
      </c>
      <c r="C61" s="72">
        <f>Stammdaten!C61</f>
        <v/>
      </c>
      <c r="D61" s="40">
        <f>Verrechnung!D61-Selbstkosten!D61-Rückstellungen!D61-Rückstellungen!Q61</f>
        <v/>
      </c>
      <c r="E61" s="40">
        <f>Verrechnung!E61-Selbstkosten!E61-Rückstellungen!E61-Rückstellungen!R61</f>
        <v/>
      </c>
      <c r="F61" s="40">
        <f>Verrechnung!F61-Selbstkosten!F61-Rückstellungen!F61-Rückstellungen!S61</f>
        <v/>
      </c>
      <c r="G61" s="40">
        <f>Verrechnung!G61-Selbstkosten!G61-Rückstellungen!G61-Rückstellungen!T61</f>
        <v/>
      </c>
      <c r="H61" s="40">
        <f>Verrechnung!H61-Selbstkosten!H61-Rückstellungen!H61-Rückstellungen!U61</f>
        <v/>
      </c>
      <c r="I61" s="40">
        <f>Verrechnung!I61-Selbstkosten!I61-Rückstellungen!I61-Rückstellungen!V61</f>
        <v/>
      </c>
      <c r="J61" s="40">
        <f>Verrechnung!J61-Selbstkosten!J61-Rückstellungen!J61-Rückstellungen!W61</f>
        <v/>
      </c>
      <c r="K61" s="40">
        <f>Verrechnung!K61-Selbstkosten!K61-Rückstellungen!K61-Rückstellungen!X61</f>
        <v/>
      </c>
      <c r="L61" s="40">
        <f>Verrechnung!L61-Selbstkosten!L61-Rückstellungen!L61-Rückstellungen!Y61</f>
        <v/>
      </c>
      <c r="M61" s="40">
        <f>Verrechnung!M61-Selbstkosten!M61-Rückstellungen!M61-Rückstellungen!Z61</f>
        <v/>
      </c>
      <c r="N61" s="40">
        <f>Verrechnung!N61-Selbstkosten!N61-Rückstellungen!N61-Rückstellungen!AA61</f>
        <v/>
      </c>
      <c r="O61" s="40">
        <f>Verrechnung!O61-Selbstkosten!O61-Rückstellungen!O61-Rückstellungen!AB61</f>
        <v/>
      </c>
      <c r="P61" s="28">
        <f>SUM(D61:O61)</f>
        <v/>
      </c>
      <c r="Q61" s="80">
        <f>Verrechnung!P61</f>
        <v/>
      </c>
      <c r="R61" s="29">
        <f>IFERROR(P61/Q61,0)</f>
        <v/>
      </c>
      <c r="S61" s="81">
        <f>RANK(P61,$P$9:$P$108,0)</f>
        <v/>
      </c>
      <c r="T61" s="82">
        <f>IF(P61&lt;0,RANK(P61,$P$9:$P$108,1),"")</f>
        <v/>
      </c>
    </row>
    <row r="62">
      <c r="A62" s="71">
        <f>Stammdaten!A62</f>
        <v/>
      </c>
      <c r="B62" s="72">
        <f>Stammdaten!B62</f>
        <v/>
      </c>
      <c r="C62" s="72">
        <f>Stammdaten!C62</f>
        <v/>
      </c>
      <c r="D62" s="40">
        <f>Verrechnung!D62-Selbstkosten!D62-Rückstellungen!D62-Rückstellungen!Q62</f>
        <v/>
      </c>
      <c r="E62" s="40">
        <f>Verrechnung!E62-Selbstkosten!E62-Rückstellungen!E62-Rückstellungen!R62</f>
        <v/>
      </c>
      <c r="F62" s="40">
        <f>Verrechnung!F62-Selbstkosten!F62-Rückstellungen!F62-Rückstellungen!S62</f>
        <v/>
      </c>
      <c r="G62" s="40">
        <f>Verrechnung!G62-Selbstkosten!G62-Rückstellungen!G62-Rückstellungen!T62</f>
        <v/>
      </c>
      <c r="H62" s="40">
        <f>Verrechnung!H62-Selbstkosten!H62-Rückstellungen!H62-Rückstellungen!U62</f>
        <v/>
      </c>
      <c r="I62" s="40">
        <f>Verrechnung!I62-Selbstkosten!I62-Rückstellungen!I62-Rückstellungen!V62</f>
        <v/>
      </c>
      <c r="J62" s="40">
        <f>Verrechnung!J62-Selbstkosten!J62-Rückstellungen!J62-Rückstellungen!W62</f>
        <v/>
      </c>
      <c r="K62" s="40">
        <f>Verrechnung!K62-Selbstkosten!K62-Rückstellungen!K62-Rückstellungen!X62</f>
        <v/>
      </c>
      <c r="L62" s="40">
        <f>Verrechnung!L62-Selbstkosten!L62-Rückstellungen!L62-Rückstellungen!Y62</f>
        <v/>
      </c>
      <c r="M62" s="40">
        <f>Verrechnung!M62-Selbstkosten!M62-Rückstellungen!M62-Rückstellungen!Z62</f>
        <v/>
      </c>
      <c r="N62" s="40">
        <f>Verrechnung!N62-Selbstkosten!N62-Rückstellungen!N62-Rückstellungen!AA62</f>
        <v/>
      </c>
      <c r="O62" s="40">
        <f>Verrechnung!O62-Selbstkosten!O62-Rückstellungen!O62-Rückstellungen!AB62</f>
        <v/>
      </c>
      <c r="P62" s="28">
        <f>SUM(D62:O62)</f>
        <v/>
      </c>
      <c r="Q62" s="80">
        <f>Verrechnung!P62</f>
        <v/>
      </c>
      <c r="R62" s="29">
        <f>IFERROR(P62/Q62,0)</f>
        <v/>
      </c>
      <c r="S62" s="81">
        <f>RANK(P62,$P$9:$P$108,0)</f>
        <v/>
      </c>
      <c r="T62" s="82">
        <f>IF(P62&lt;0,RANK(P62,$P$9:$P$108,1),"")</f>
        <v/>
      </c>
    </row>
    <row r="63">
      <c r="A63" s="71">
        <f>Stammdaten!A63</f>
        <v/>
      </c>
      <c r="B63" s="72">
        <f>Stammdaten!B63</f>
        <v/>
      </c>
      <c r="C63" s="72">
        <f>Stammdaten!C63</f>
        <v/>
      </c>
      <c r="D63" s="40">
        <f>Verrechnung!D63-Selbstkosten!D63-Rückstellungen!D63-Rückstellungen!Q63</f>
        <v/>
      </c>
      <c r="E63" s="40">
        <f>Verrechnung!E63-Selbstkosten!E63-Rückstellungen!E63-Rückstellungen!R63</f>
        <v/>
      </c>
      <c r="F63" s="40">
        <f>Verrechnung!F63-Selbstkosten!F63-Rückstellungen!F63-Rückstellungen!S63</f>
        <v/>
      </c>
      <c r="G63" s="40">
        <f>Verrechnung!G63-Selbstkosten!G63-Rückstellungen!G63-Rückstellungen!T63</f>
        <v/>
      </c>
      <c r="H63" s="40">
        <f>Verrechnung!H63-Selbstkosten!H63-Rückstellungen!H63-Rückstellungen!U63</f>
        <v/>
      </c>
      <c r="I63" s="40">
        <f>Verrechnung!I63-Selbstkosten!I63-Rückstellungen!I63-Rückstellungen!V63</f>
        <v/>
      </c>
      <c r="J63" s="40">
        <f>Verrechnung!J63-Selbstkosten!J63-Rückstellungen!J63-Rückstellungen!W63</f>
        <v/>
      </c>
      <c r="K63" s="40">
        <f>Verrechnung!K63-Selbstkosten!K63-Rückstellungen!K63-Rückstellungen!X63</f>
        <v/>
      </c>
      <c r="L63" s="40">
        <f>Verrechnung!L63-Selbstkosten!L63-Rückstellungen!L63-Rückstellungen!Y63</f>
        <v/>
      </c>
      <c r="M63" s="40">
        <f>Verrechnung!M63-Selbstkosten!M63-Rückstellungen!M63-Rückstellungen!Z63</f>
        <v/>
      </c>
      <c r="N63" s="40">
        <f>Verrechnung!N63-Selbstkosten!N63-Rückstellungen!N63-Rückstellungen!AA63</f>
        <v/>
      </c>
      <c r="O63" s="40">
        <f>Verrechnung!O63-Selbstkosten!O63-Rückstellungen!O63-Rückstellungen!AB63</f>
        <v/>
      </c>
      <c r="P63" s="28">
        <f>SUM(D63:O63)</f>
        <v/>
      </c>
      <c r="Q63" s="80">
        <f>Verrechnung!P63</f>
        <v/>
      </c>
      <c r="R63" s="29">
        <f>IFERROR(P63/Q63,0)</f>
        <v/>
      </c>
      <c r="S63" s="81">
        <f>RANK(P63,$P$9:$P$108,0)</f>
        <v/>
      </c>
      <c r="T63" s="82">
        <f>IF(P63&lt;0,RANK(P63,$P$9:$P$108,1),"")</f>
        <v/>
      </c>
    </row>
    <row r="64">
      <c r="A64" s="71">
        <f>Stammdaten!A64</f>
        <v/>
      </c>
      <c r="B64" s="72">
        <f>Stammdaten!B64</f>
        <v/>
      </c>
      <c r="C64" s="72">
        <f>Stammdaten!C64</f>
        <v/>
      </c>
      <c r="D64" s="40">
        <f>Verrechnung!D64-Selbstkosten!D64-Rückstellungen!D64-Rückstellungen!Q64</f>
        <v/>
      </c>
      <c r="E64" s="40">
        <f>Verrechnung!E64-Selbstkosten!E64-Rückstellungen!E64-Rückstellungen!R64</f>
        <v/>
      </c>
      <c r="F64" s="40">
        <f>Verrechnung!F64-Selbstkosten!F64-Rückstellungen!F64-Rückstellungen!S64</f>
        <v/>
      </c>
      <c r="G64" s="40">
        <f>Verrechnung!G64-Selbstkosten!G64-Rückstellungen!G64-Rückstellungen!T64</f>
        <v/>
      </c>
      <c r="H64" s="40">
        <f>Verrechnung!H64-Selbstkosten!H64-Rückstellungen!H64-Rückstellungen!U64</f>
        <v/>
      </c>
      <c r="I64" s="40">
        <f>Verrechnung!I64-Selbstkosten!I64-Rückstellungen!I64-Rückstellungen!V64</f>
        <v/>
      </c>
      <c r="J64" s="40">
        <f>Verrechnung!J64-Selbstkosten!J64-Rückstellungen!J64-Rückstellungen!W64</f>
        <v/>
      </c>
      <c r="K64" s="40">
        <f>Verrechnung!K64-Selbstkosten!K64-Rückstellungen!K64-Rückstellungen!X64</f>
        <v/>
      </c>
      <c r="L64" s="40">
        <f>Verrechnung!L64-Selbstkosten!L64-Rückstellungen!L64-Rückstellungen!Y64</f>
        <v/>
      </c>
      <c r="M64" s="40">
        <f>Verrechnung!M64-Selbstkosten!M64-Rückstellungen!M64-Rückstellungen!Z64</f>
        <v/>
      </c>
      <c r="N64" s="40">
        <f>Verrechnung!N64-Selbstkosten!N64-Rückstellungen!N64-Rückstellungen!AA64</f>
        <v/>
      </c>
      <c r="O64" s="40">
        <f>Verrechnung!O64-Selbstkosten!O64-Rückstellungen!O64-Rückstellungen!AB64</f>
        <v/>
      </c>
      <c r="P64" s="28">
        <f>SUM(D64:O64)</f>
        <v/>
      </c>
      <c r="Q64" s="80">
        <f>Verrechnung!P64</f>
        <v/>
      </c>
      <c r="R64" s="29">
        <f>IFERROR(P64/Q64,0)</f>
        <v/>
      </c>
      <c r="S64" s="81">
        <f>RANK(P64,$P$9:$P$108,0)</f>
        <v/>
      </c>
      <c r="T64" s="82">
        <f>IF(P64&lt;0,RANK(P64,$P$9:$P$108,1),"")</f>
        <v/>
      </c>
    </row>
    <row r="65">
      <c r="A65" s="71">
        <f>Stammdaten!A65</f>
        <v/>
      </c>
      <c r="B65" s="72">
        <f>Stammdaten!B65</f>
        <v/>
      </c>
      <c r="C65" s="72">
        <f>Stammdaten!C65</f>
        <v/>
      </c>
      <c r="D65" s="40">
        <f>Verrechnung!D65-Selbstkosten!D65-Rückstellungen!D65-Rückstellungen!Q65</f>
        <v/>
      </c>
      <c r="E65" s="40">
        <f>Verrechnung!E65-Selbstkosten!E65-Rückstellungen!E65-Rückstellungen!R65</f>
        <v/>
      </c>
      <c r="F65" s="40">
        <f>Verrechnung!F65-Selbstkosten!F65-Rückstellungen!F65-Rückstellungen!S65</f>
        <v/>
      </c>
      <c r="G65" s="40">
        <f>Verrechnung!G65-Selbstkosten!G65-Rückstellungen!G65-Rückstellungen!T65</f>
        <v/>
      </c>
      <c r="H65" s="40">
        <f>Verrechnung!H65-Selbstkosten!H65-Rückstellungen!H65-Rückstellungen!U65</f>
        <v/>
      </c>
      <c r="I65" s="40">
        <f>Verrechnung!I65-Selbstkosten!I65-Rückstellungen!I65-Rückstellungen!V65</f>
        <v/>
      </c>
      <c r="J65" s="40">
        <f>Verrechnung!J65-Selbstkosten!J65-Rückstellungen!J65-Rückstellungen!W65</f>
        <v/>
      </c>
      <c r="K65" s="40">
        <f>Verrechnung!K65-Selbstkosten!K65-Rückstellungen!K65-Rückstellungen!X65</f>
        <v/>
      </c>
      <c r="L65" s="40">
        <f>Verrechnung!L65-Selbstkosten!L65-Rückstellungen!L65-Rückstellungen!Y65</f>
        <v/>
      </c>
      <c r="M65" s="40">
        <f>Verrechnung!M65-Selbstkosten!M65-Rückstellungen!M65-Rückstellungen!Z65</f>
        <v/>
      </c>
      <c r="N65" s="40">
        <f>Verrechnung!N65-Selbstkosten!N65-Rückstellungen!N65-Rückstellungen!AA65</f>
        <v/>
      </c>
      <c r="O65" s="40">
        <f>Verrechnung!O65-Selbstkosten!O65-Rückstellungen!O65-Rückstellungen!AB65</f>
        <v/>
      </c>
      <c r="P65" s="28">
        <f>SUM(D65:O65)</f>
        <v/>
      </c>
      <c r="Q65" s="80">
        <f>Verrechnung!P65</f>
        <v/>
      </c>
      <c r="R65" s="29">
        <f>IFERROR(P65/Q65,0)</f>
        <v/>
      </c>
      <c r="S65" s="81">
        <f>RANK(P65,$P$9:$P$108,0)</f>
        <v/>
      </c>
      <c r="T65" s="82">
        <f>IF(P65&lt;0,RANK(P65,$P$9:$P$108,1),"")</f>
        <v/>
      </c>
    </row>
    <row r="66">
      <c r="A66" s="71">
        <f>Stammdaten!A66</f>
        <v/>
      </c>
      <c r="B66" s="72">
        <f>Stammdaten!B66</f>
        <v/>
      </c>
      <c r="C66" s="72">
        <f>Stammdaten!C66</f>
        <v/>
      </c>
      <c r="D66" s="40">
        <f>Verrechnung!D66-Selbstkosten!D66-Rückstellungen!D66-Rückstellungen!Q66</f>
        <v/>
      </c>
      <c r="E66" s="40">
        <f>Verrechnung!E66-Selbstkosten!E66-Rückstellungen!E66-Rückstellungen!R66</f>
        <v/>
      </c>
      <c r="F66" s="40">
        <f>Verrechnung!F66-Selbstkosten!F66-Rückstellungen!F66-Rückstellungen!S66</f>
        <v/>
      </c>
      <c r="G66" s="40">
        <f>Verrechnung!G66-Selbstkosten!G66-Rückstellungen!G66-Rückstellungen!T66</f>
        <v/>
      </c>
      <c r="H66" s="40">
        <f>Verrechnung!H66-Selbstkosten!H66-Rückstellungen!H66-Rückstellungen!U66</f>
        <v/>
      </c>
      <c r="I66" s="40">
        <f>Verrechnung!I66-Selbstkosten!I66-Rückstellungen!I66-Rückstellungen!V66</f>
        <v/>
      </c>
      <c r="J66" s="40">
        <f>Verrechnung!J66-Selbstkosten!J66-Rückstellungen!J66-Rückstellungen!W66</f>
        <v/>
      </c>
      <c r="K66" s="40">
        <f>Verrechnung!K66-Selbstkosten!K66-Rückstellungen!K66-Rückstellungen!X66</f>
        <v/>
      </c>
      <c r="L66" s="40">
        <f>Verrechnung!L66-Selbstkosten!L66-Rückstellungen!L66-Rückstellungen!Y66</f>
        <v/>
      </c>
      <c r="M66" s="40">
        <f>Verrechnung!M66-Selbstkosten!M66-Rückstellungen!M66-Rückstellungen!Z66</f>
        <v/>
      </c>
      <c r="N66" s="40">
        <f>Verrechnung!N66-Selbstkosten!N66-Rückstellungen!N66-Rückstellungen!AA66</f>
        <v/>
      </c>
      <c r="O66" s="40">
        <f>Verrechnung!O66-Selbstkosten!O66-Rückstellungen!O66-Rückstellungen!AB66</f>
        <v/>
      </c>
      <c r="P66" s="28">
        <f>SUM(D66:O66)</f>
        <v/>
      </c>
      <c r="Q66" s="80">
        <f>Verrechnung!P66</f>
        <v/>
      </c>
      <c r="R66" s="29">
        <f>IFERROR(P66/Q66,0)</f>
        <v/>
      </c>
      <c r="S66" s="81">
        <f>RANK(P66,$P$9:$P$108,0)</f>
        <v/>
      </c>
      <c r="T66" s="82">
        <f>IF(P66&lt;0,RANK(P66,$P$9:$P$108,1),"")</f>
        <v/>
      </c>
    </row>
    <row r="67">
      <c r="A67" s="71">
        <f>Stammdaten!A67</f>
        <v/>
      </c>
      <c r="B67" s="72">
        <f>Stammdaten!B67</f>
        <v/>
      </c>
      <c r="C67" s="72">
        <f>Stammdaten!C67</f>
        <v/>
      </c>
      <c r="D67" s="40">
        <f>Verrechnung!D67-Selbstkosten!D67-Rückstellungen!D67-Rückstellungen!Q67</f>
        <v/>
      </c>
      <c r="E67" s="40">
        <f>Verrechnung!E67-Selbstkosten!E67-Rückstellungen!E67-Rückstellungen!R67</f>
        <v/>
      </c>
      <c r="F67" s="40">
        <f>Verrechnung!F67-Selbstkosten!F67-Rückstellungen!F67-Rückstellungen!S67</f>
        <v/>
      </c>
      <c r="G67" s="40">
        <f>Verrechnung!G67-Selbstkosten!G67-Rückstellungen!G67-Rückstellungen!T67</f>
        <v/>
      </c>
      <c r="H67" s="40">
        <f>Verrechnung!H67-Selbstkosten!H67-Rückstellungen!H67-Rückstellungen!U67</f>
        <v/>
      </c>
      <c r="I67" s="40">
        <f>Verrechnung!I67-Selbstkosten!I67-Rückstellungen!I67-Rückstellungen!V67</f>
        <v/>
      </c>
      <c r="J67" s="40">
        <f>Verrechnung!J67-Selbstkosten!J67-Rückstellungen!J67-Rückstellungen!W67</f>
        <v/>
      </c>
      <c r="K67" s="40">
        <f>Verrechnung!K67-Selbstkosten!K67-Rückstellungen!K67-Rückstellungen!X67</f>
        <v/>
      </c>
      <c r="L67" s="40">
        <f>Verrechnung!L67-Selbstkosten!L67-Rückstellungen!L67-Rückstellungen!Y67</f>
        <v/>
      </c>
      <c r="M67" s="40">
        <f>Verrechnung!M67-Selbstkosten!M67-Rückstellungen!M67-Rückstellungen!Z67</f>
        <v/>
      </c>
      <c r="N67" s="40">
        <f>Verrechnung!N67-Selbstkosten!N67-Rückstellungen!N67-Rückstellungen!AA67</f>
        <v/>
      </c>
      <c r="O67" s="40">
        <f>Verrechnung!O67-Selbstkosten!O67-Rückstellungen!O67-Rückstellungen!AB67</f>
        <v/>
      </c>
      <c r="P67" s="28">
        <f>SUM(D67:O67)</f>
        <v/>
      </c>
      <c r="Q67" s="80">
        <f>Verrechnung!P67</f>
        <v/>
      </c>
      <c r="R67" s="29">
        <f>IFERROR(P67/Q67,0)</f>
        <v/>
      </c>
      <c r="S67" s="81">
        <f>RANK(P67,$P$9:$P$108,0)</f>
        <v/>
      </c>
      <c r="T67" s="82">
        <f>IF(P67&lt;0,RANK(P67,$P$9:$P$108,1),"")</f>
        <v/>
      </c>
    </row>
    <row r="68">
      <c r="A68" s="71">
        <f>Stammdaten!A68</f>
        <v/>
      </c>
      <c r="B68" s="72">
        <f>Stammdaten!B68</f>
        <v/>
      </c>
      <c r="C68" s="72">
        <f>Stammdaten!C68</f>
        <v/>
      </c>
      <c r="D68" s="40">
        <f>Verrechnung!D68-Selbstkosten!D68-Rückstellungen!D68-Rückstellungen!Q68</f>
        <v/>
      </c>
      <c r="E68" s="40">
        <f>Verrechnung!E68-Selbstkosten!E68-Rückstellungen!E68-Rückstellungen!R68</f>
        <v/>
      </c>
      <c r="F68" s="40">
        <f>Verrechnung!F68-Selbstkosten!F68-Rückstellungen!F68-Rückstellungen!S68</f>
        <v/>
      </c>
      <c r="G68" s="40">
        <f>Verrechnung!G68-Selbstkosten!G68-Rückstellungen!G68-Rückstellungen!T68</f>
        <v/>
      </c>
      <c r="H68" s="40">
        <f>Verrechnung!H68-Selbstkosten!H68-Rückstellungen!H68-Rückstellungen!U68</f>
        <v/>
      </c>
      <c r="I68" s="40">
        <f>Verrechnung!I68-Selbstkosten!I68-Rückstellungen!I68-Rückstellungen!V68</f>
        <v/>
      </c>
      <c r="J68" s="40">
        <f>Verrechnung!J68-Selbstkosten!J68-Rückstellungen!J68-Rückstellungen!W68</f>
        <v/>
      </c>
      <c r="K68" s="40">
        <f>Verrechnung!K68-Selbstkosten!K68-Rückstellungen!K68-Rückstellungen!X68</f>
        <v/>
      </c>
      <c r="L68" s="40">
        <f>Verrechnung!L68-Selbstkosten!L68-Rückstellungen!L68-Rückstellungen!Y68</f>
        <v/>
      </c>
      <c r="M68" s="40">
        <f>Verrechnung!M68-Selbstkosten!M68-Rückstellungen!M68-Rückstellungen!Z68</f>
        <v/>
      </c>
      <c r="N68" s="40">
        <f>Verrechnung!N68-Selbstkosten!N68-Rückstellungen!N68-Rückstellungen!AA68</f>
        <v/>
      </c>
      <c r="O68" s="40">
        <f>Verrechnung!O68-Selbstkosten!O68-Rückstellungen!O68-Rückstellungen!AB68</f>
        <v/>
      </c>
      <c r="P68" s="28">
        <f>SUM(D68:O68)</f>
        <v/>
      </c>
      <c r="Q68" s="80">
        <f>Verrechnung!P68</f>
        <v/>
      </c>
      <c r="R68" s="29">
        <f>IFERROR(P68/Q68,0)</f>
        <v/>
      </c>
      <c r="S68" s="81">
        <f>RANK(P68,$P$9:$P$108,0)</f>
        <v/>
      </c>
      <c r="T68" s="82">
        <f>IF(P68&lt;0,RANK(P68,$P$9:$P$108,1),"")</f>
        <v/>
      </c>
    </row>
    <row r="69">
      <c r="A69" s="68">
        <f>Stammdaten!A69</f>
        <v/>
      </c>
      <c r="B69" s="69">
        <f>Stammdaten!B69</f>
        <v/>
      </c>
      <c r="C69" s="69">
        <f>Stammdaten!C69</f>
        <v/>
      </c>
      <c r="D69" s="40">
        <f>Verrechnung!D69-Selbstkosten!D69-Rückstellungen!D69-Rückstellungen!Q69</f>
        <v/>
      </c>
      <c r="E69" s="40">
        <f>Verrechnung!E69-Selbstkosten!E69-Rückstellungen!E69-Rückstellungen!R69</f>
        <v/>
      </c>
      <c r="F69" s="40">
        <f>Verrechnung!F69-Selbstkosten!F69-Rückstellungen!F69-Rückstellungen!S69</f>
        <v/>
      </c>
      <c r="G69" s="40">
        <f>Verrechnung!G69-Selbstkosten!G69-Rückstellungen!G69-Rückstellungen!T69</f>
        <v/>
      </c>
      <c r="H69" s="40">
        <f>Verrechnung!H69-Selbstkosten!H69-Rückstellungen!H69-Rückstellungen!U69</f>
        <v/>
      </c>
      <c r="I69" s="40">
        <f>Verrechnung!I69-Selbstkosten!I69-Rückstellungen!I69-Rückstellungen!V69</f>
        <v/>
      </c>
      <c r="J69" s="40">
        <f>Verrechnung!J69-Selbstkosten!J69-Rückstellungen!J69-Rückstellungen!W69</f>
        <v/>
      </c>
      <c r="K69" s="40">
        <f>Verrechnung!K69-Selbstkosten!K69-Rückstellungen!K69-Rückstellungen!X69</f>
        <v/>
      </c>
      <c r="L69" s="40">
        <f>Verrechnung!L69-Selbstkosten!L69-Rückstellungen!L69-Rückstellungen!Y69</f>
        <v/>
      </c>
      <c r="M69" s="40">
        <f>Verrechnung!M69-Selbstkosten!M69-Rückstellungen!M69-Rückstellungen!Z69</f>
        <v/>
      </c>
      <c r="N69" s="40">
        <f>Verrechnung!N69-Selbstkosten!N69-Rückstellungen!N69-Rückstellungen!AA69</f>
        <v/>
      </c>
      <c r="O69" s="40">
        <f>Verrechnung!O69-Selbstkosten!O69-Rückstellungen!O69-Rückstellungen!AB69</f>
        <v/>
      </c>
      <c r="P69" s="28">
        <f>SUM(D69:O69)</f>
        <v/>
      </c>
      <c r="Q69" s="80">
        <f>Verrechnung!P69</f>
        <v/>
      </c>
      <c r="R69" s="29">
        <f>IFERROR(P69/Q69,0)</f>
        <v/>
      </c>
      <c r="S69" s="81">
        <f>RANK(P69,$P$9:$P$108,0)</f>
        <v/>
      </c>
      <c r="T69" s="82">
        <f>IF(P69&lt;0,RANK(P69,$P$9:$P$108,1),"")</f>
        <v/>
      </c>
    </row>
    <row r="70">
      <c r="A70" s="68">
        <f>Stammdaten!A70</f>
        <v/>
      </c>
      <c r="B70" s="69">
        <f>Stammdaten!B70</f>
        <v/>
      </c>
      <c r="C70" s="69">
        <f>Stammdaten!C70</f>
        <v/>
      </c>
      <c r="D70" s="40">
        <f>Verrechnung!D70-Selbstkosten!D70-Rückstellungen!D70-Rückstellungen!Q70</f>
        <v/>
      </c>
      <c r="E70" s="40">
        <f>Verrechnung!E70-Selbstkosten!E70-Rückstellungen!E70-Rückstellungen!R70</f>
        <v/>
      </c>
      <c r="F70" s="40">
        <f>Verrechnung!F70-Selbstkosten!F70-Rückstellungen!F70-Rückstellungen!S70</f>
        <v/>
      </c>
      <c r="G70" s="40">
        <f>Verrechnung!G70-Selbstkosten!G70-Rückstellungen!G70-Rückstellungen!T70</f>
        <v/>
      </c>
      <c r="H70" s="40">
        <f>Verrechnung!H70-Selbstkosten!H70-Rückstellungen!H70-Rückstellungen!U70</f>
        <v/>
      </c>
      <c r="I70" s="40">
        <f>Verrechnung!I70-Selbstkosten!I70-Rückstellungen!I70-Rückstellungen!V70</f>
        <v/>
      </c>
      <c r="J70" s="40">
        <f>Verrechnung!J70-Selbstkosten!J70-Rückstellungen!J70-Rückstellungen!W70</f>
        <v/>
      </c>
      <c r="K70" s="40">
        <f>Verrechnung!K70-Selbstkosten!K70-Rückstellungen!K70-Rückstellungen!X70</f>
        <v/>
      </c>
      <c r="L70" s="40">
        <f>Verrechnung!L70-Selbstkosten!L70-Rückstellungen!L70-Rückstellungen!Y70</f>
        <v/>
      </c>
      <c r="M70" s="40">
        <f>Verrechnung!M70-Selbstkosten!M70-Rückstellungen!M70-Rückstellungen!Z70</f>
        <v/>
      </c>
      <c r="N70" s="40">
        <f>Verrechnung!N70-Selbstkosten!N70-Rückstellungen!N70-Rückstellungen!AA70</f>
        <v/>
      </c>
      <c r="O70" s="40">
        <f>Verrechnung!O70-Selbstkosten!O70-Rückstellungen!O70-Rückstellungen!AB70</f>
        <v/>
      </c>
      <c r="P70" s="28">
        <f>SUM(D70:O70)</f>
        <v/>
      </c>
      <c r="Q70" s="80">
        <f>Verrechnung!P70</f>
        <v/>
      </c>
      <c r="R70" s="29">
        <f>IFERROR(P70/Q70,0)</f>
        <v/>
      </c>
      <c r="S70" s="81">
        <f>RANK(P70,$P$9:$P$108,0)</f>
        <v/>
      </c>
      <c r="T70" s="82">
        <f>IF(P70&lt;0,RANK(P70,$P$9:$P$108,1),"")</f>
        <v/>
      </c>
    </row>
    <row r="71">
      <c r="A71" s="68">
        <f>Stammdaten!A71</f>
        <v/>
      </c>
      <c r="B71" s="69">
        <f>Stammdaten!B71</f>
        <v/>
      </c>
      <c r="C71" s="69">
        <f>Stammdaten!C71</f>
        <v/>
      </c>
      <c r="D71" s="40">
        <f>Verrechnung!D71-Selbstkosten!D71-Rückstellungen!D71-Rückstellungen!Q71</f>
        <v/>
      </c>
      <c r="E71" s="40">
        <f>Verrechnung!E71-Selbstkosten!E71-Rückstellungen!E71-Rückstellungen!R71</f>
        <v/>
      </c>
      <c r="F71" s="40">
        <f>Verrechnung!F71-Selbstkosten!F71-Rückstellungen!F71-Rückstellungen!S71</f>
        <v/>
      </c>
      <c r="G71" s="40">
        <f>Verrechnung!G71-Selbstkosten!G71-Rückstellungen!G71-Rückstellungen!T71</f>
        <v/>
      </c>
      <c r="H71" s="40">
        <f>Verrechnung!H71-Selbstkosten!H71-Rückstellungen!H71-Rückstellungen!U71</f>
        <v/>
      </c>
      <c r="I71" s="40">
        <f>Verrechnung!I71-Selbstkosten!I71-Rückstellungen!I71-Rückstellungen!V71</f>
        <v/>
      </c>
      <c r="J71" s="40">
        <f>Verrechnung!J71-Selbstkosten!J71-Rückstellungen!J71-Rückstellungen!W71</f>
        <v/>
      </c>
      <c r="K71" s="40">
        <f>Verrechnung!K71-Selbstkosten!K71-Rückstellungen!K71-Rückstellungen!X71</f>
        <v/>
      </c>
      <c r="L71" s="40">
        <f>Verrechnung!L71-Selbstkosten!L71-Rückstellungen!L71-Rückstellungen!Y71</f>
        <v/>
      </c>
      <c r="M71" s="40">
        <f>Verrechnung!M71-Selbstkosten!M71-Rückstellungen!M71-Rückstellungen!Z71</f>
        <v/>
      </c>
      <c r="N71" s="40">
        <f>Verrechnung!N71-Selbstkosten!N71-Rückstellungen!N71-Rückstellungen!AA71</f>
        <v/>
      </c>
      <c r="O71" s="40">
        <f>Verrechnung!O71-Selbstkosten!O71-Rückstellungen!O71-Rückstellungen!AB71</f>
        <v/>
      </c>
      <c r="P71" s="28">
        <f>SUM(D71:O71)</f>
        <v/>
      </c>
      <c r="Q71" s="80">
        <f>Verrechnung!P71</f>
        <v/>
      </c>
      <c r="R71" s="29">
        <f>IFERROR(P71/Q71,0)</f>
        <v/>
      </c>
      <c r="S71" s="81">
        <f>RANK(P71,$P$9:$P$108,0)</f>
        <v/>
      </c>
      <c r="T71" s="82">
        <f>IF(P71&lt;0,RANK(P71,$P$9:$P$108,1),"")</f>
        <v/>
      </c>
    </row>
    <row r="72">
      <c r="A72" s="68">
        <f>Stammdaten!A72</f>
        <v/>
      </c>
      <c r="B72" s="69">
        <f>Stammdaten!B72</f>
        <v/>
      </c>
      <c r="C72" s="69">
        <f>Stammdaten!C72</f>
        <v/>
      </c>
      <c r="D72" s="40">
        <f>Verrechnung!D72-Selbstkosten!D72-Rückstellungen!D72-Rückstellungen!Q72</f>
        <v/>
      </c>
      <c r="E72" s="40">
        <f>Verrechnung!E72-Selbstkosten!E72-Rückstellungen!E72-Rückstellungen!R72</f>
        <v/>
      </c>
      <c r="F72" s="40">
        <f>Verrechnung!F72-Selbstkosten!F72-Rückstellungen!F72-Rückstellungen!S72</f>
        <v/>
      </c>
      <c r="G72" s="40">
        <f>Verrechnung!G72-Selbstkosten!G72-Rückstellungen!G72-Rückstellungen!T72</f>
        <v/>
      </c>
      <c r="H72" s="40">
        <f>Verrechnung!H72-Selbstkosten!H72-Rückstellungen!H72-Rückstellungen!U72</f>
        <v/>
      </c>
      <c r="I72" s="40">
        <f>Verrechnung!I72-Selbstkosten!I72-Rückstellungen!I72-Rückstellungen!V72</f>
        <v/>
      </c>
      <c r="J72" s="40">
        <f>Verrechnung!J72-Selbstkosten!J72-Rückstellungen!J72-Rückstellungen!W72</f>
        <v/>
      </c>
      <c r="K72" s="40">
        <f>Verrechnung!K72-Selbstkosten!K72-Rückstellungen!K72-Rückstellungen!X72</f>
        <v/>
      </c>
      <c r="L72" s="40">
        <f>Verrechnung!L72-Selbstkosten!L72-Rückstellungen!L72-Rückstellungen!Y72</f>
        <v/>
      </c>
      <c r="M72" s="40">
        <f>Verrechnung!M72-Selbstkosten!M72-Rückstellungen!M72-Rückstellungen!Z72</f>
        <v/>
      </c>
      <c r="N72" s="40">
        <f>Verrechnung!N72-Selbstkosten!N72-Rückstellungen!N72-Rückstellungen!AA72</f>
        <v/>
      </c>
      <c r="O72" s="40">
        <f>Verrechnung!O72-Selbstkosten!O72-Rückstellungen!O72-Rückstellungen!AB72</f>
        <v/>
      </c>
      <c r="P72" s="28">
        <f>SUM(D72:O72)</f>
        <v/>
      </c>
      <c r="Q72" s="80">
        <f>Verrechnung!P72</f>
        <v/>
      </c>
      <c r="R72" s="29">
        <f>IFERROR(P72/Q72,0)</f>
        <v/>
      </c>
      <c r="S72" s="81">
        <f>RANK(P72,$P$9:$P$108,0)</f>
        <v/>
      </c>
      <c r="T72" s="82">
        <f>IF(P72&lt;0,RANK(P72,$P$9:$P$108,1),"")</f>
        <v/>
      </c>
    </row>
    <row r="73">
      <c r="A73" s="68">
        <f>Stammdaten!A73</f>
        <v/>
      </c>
      <c r="B73" s="69">
        <f>Stammdaten!B73</f>
        <v/>
      </c>
      <c r="C73" s="69">
        <f>Stammdaten!C73</f>
        <v/>
      </c>
      <c r="D73" s="40">
        <f>Verrechnung!D73-Selbstkosten!D73-Rückstellungen!D73-Rückstellungen!Q73</f>
        <v/>
      </c>
      <c r="E73" s="40">
        <f>Verrechnung!E73-Selbstkosten!E73-Rückstellungen!E73-Rückstellungen!R73</f>
        <v/>
      </c>
      <c r="F73" s="40">
        <f>Verrechnung!F73-Selbstkosten!F73-Rückstellungen!F73-Rückstellungen!S73</f>
        <v/>
      </c>
      <c r="G73" s="40">
        <f>Verrechnung!G73-Selbstkosten!G73-Rückstellungen!G73-Rückstellungen!T73</f>
        <v/>
      </c>
      <c r="H73" s="40">
        <f>Verrechnung!H73-Selbstkosten!H73-Rückstellungen!H73-Rückstellungen!U73</f>
        <v/>
      </c>
      <c r="I73" s="40">
        <f>Verrechnung!I73-Selbstkosten!I73-Rückstellungen!I73-Rückstellungen!V73</f>
        <v/>
      </c>
      <c r="J73" s="40">
        <f>Verrechnung!J73-Selbstkosten!J73-Rückstellungen!J73-Rückstellungen!W73</f>
        <v/>
      </c>
      <c r="K73" s="40">
        <f>Verrechnung!K73-Selbstkosten!K73-Rückstellungen!K73-Rückstellungen!X73</f>
        <v/>
      </c>
      <c r="L73" s="40">
        <f>Verrechnung!L73-Selbstkosten!L73-Rückstellungen!L73-Rückstellungen!Y73</f>
        <v/>
      </c>
      <c r="M73" s="40">
        <f>Verrechnung!M73-Selbstkosten!M73-Rückstellungen!M73-Rückstellungen!Z73</f>
        <v/>
      </c>
      <c r="N73" s="40">
        <f>Verrechnung!N73-Selbstkosten!N73-Rückstellungen!N73-Rückstellungen!AA73</f>
        <v/>
      </c>
      <c r="O73" s="40">
        <f>Verrechnung!O73-Selbstkosten!O73-Rückstellungen!O73-Rückstellungen!AB73</f>
        <v/>
      </c>
      <c r="P73" s="28">
        <f>SUM(D73:O73)</f>
        <v/>
      </c>
      <c r="Q73" s="80">
        <f>Verrechnung!P73</f>
        <v/>
      </c>
      <c r="R73" s="29">
        <f>IFERROR(P73/Q73,0)</f>
        <v/>
      </c>
      <c r="S73" s="81">
        <f>RANK(P73,$P$9:$P$108,0)</f>
        <v/>
      </c>
      <c r="T73" s="82">
        <f>IF(P73&lt;0,RANK(P73,$P$9:$P$108,1),"")</f>
        <v/>
      </c>
    </row>
    <row r="74">
      <c r="A74" s="68">
        <f>Stammdaten!A74</f>
        <v/>
      </c>
      <c r="B74" s="69">
        <f>Stammdaten!B74</f>
        <v/>
      </c>
      <c r="C74" s="69">
        <f>Stammdaten!C74</f>
        <v/>
      </c>
      <c r="D74" s="40">
        <f>Verrechnung!D74-Selbstkosten!D74-Rückstellungen!D74-Rückstellungen!Q74</f>
        <v/>
      </c>
      <c r="E74" s="40">
        <f>Verrechnung!E74-Selbstkosten!E74-Rückstellungen!E74-Rückstellungen!R74</f>
        <v/>
      </c>
      <c r="F74" s="40">
        <f>Verrechnung!F74-Selbstkosten!F74-Rückstellungen!F74-Rückstellungen!S74</f>
        <v/>
      </c>
      <c r="G74" s="40">
        <f>Verrechnung!G74-Selbstkosten!G74-Rückstellungen!G74-Rückstellungen!T74</f>
        <v/>
      </c>
      <c r="H74" s="40">
        <f>Verrechnung!H74-Selbstkosten!H74-Rückstellungen!H74-Rückstellungen!U74</f>
        <v/>
      </c>
      <c r="I74" s="40">
        <f>Verrechnung!I74-Selbstkosten!I74-Rückstellungen!I74-Rückstellungen!V74</f>
        <v/>
      </c>
      <c r="J74" s="40">
        <f>Verrechnung!J74-Selbstkosten!J74-Rückstellungen!J74-Rückstellungen!W74</f>
        <v/>
      </c>
      <c r="K74" s="40">
        <f>Verrechnung!K74-Selbstkosten!K74-Rückstellungen!K74-Rückstellungen!X74</f>
        <v/>
      </c>
      <c r="L74" s="40">
        <f>Verrechnung!L74-Selbstkosten!L74-Rückstellungen!L74-Rückstellungen!Y74</f>
        <v/>
      </c>
      <c r="M74" s="40">
        <f>Verrechnung!M74-Selbstkosten!M74-Rückstellungen!M74-Rückstellungen!Z74</f>
        <v/>
      </c>
      <c r="N74" s="40">
        <f>Verrechnung!N74-Selbstkosten!N74-Rückstellungen!N74-Rückstellungen!AA74</f>
        <v/>
      </c>
      <c r="O74" s="40">
        <f>Verrechnung!O74-Selbstkosten!O74-Rückstellungen!O74-Rückstellungen!AB74</f>
        <v/>
      </c>
      <c r="P74" s="28">
        <f>SUM(D74:O74)</f>
        <v/>
      </c>
      <c r="Q74" s="80">
        <f>Verrechnung!P74</f>
        <v/>
      </c>
      <c r="R74" s="29">
        <f>IFERROR(P74/Q74,0)</f>
        <v/>
      </c>
      <c r="S74" s="81">
        <f>RANK(P74,$P$9:$P$108,0)</f>
        <v/>
      </c>
      <c r="T74" s="82">
        <f>IF(P74&lt;0,RANK(P74,$P$9:$P$108,1),"")</f>
        <v/>
      </c>
    </row>
    <row r="75">
      <c r="A75" s="68">
        <f>Stammdaten!A75</f>
        <v/>
      </c>
      <c r="B75" s="69">
        <f>Stammdaten!B75</f>
        <v/>
      </c>
      <c r="C75" s="69">
        <f>Stammdaten!C75</f>
        <v/>
      </c>
      <c r="D75" s="40">
        <f>Verrechnung!D75-Selbstkosten!D75-Rückstellungen!D75-Rückstellungen!Q75</f>
        <v/>
      </c>
      <c r="E75" s="40">
        <f>Verrechnung!E75-Selbstkosten!E75-Rückstellungen!E75-Rückstellungen!R75</f>
        <v/>
      </c>
      <c r="F75" s="40">
        <f>Verrechnung!F75-Selbstkosten!F75-Rückstellungen!F75-Rückstellungen!S75</f>
        <v/>
      </c>
      <c r="G75" s="40">
        <f>Verrechnung!G75-Selbstkosten!G75-Rückstellungen!G75-Rückstellungen!T75</f>
        <v/>
      </c>
      <c r="H75" s="40">
        <f>Verrechnung!H75-Selbstkosten!H75-Rückstellungen!H75-Rückstellungen!U75</f>
        <v/>
      </c>
      <c r="I75" s="40">
        <f>Verrechnung!I75-Selbstkosten!I75-Rückstellungen!I75-Rückstellungen!V75</f>
        <v/>
      </c>
      <c r="J75" s="40">
        <f>Verrechnung!J75-Selbstkosten!J75-Rückstellungen!J75-Rückstellungen!W75</f>
        <v/>
      </c>
      <c r="K75" s="40">
        <f>Verrechnung!K75-Selbstkosten!K75-Rückstellungen!K75-Rückstellungen!X75</f>
        <v/>
      </c>
      <c r="L75" s="40">
        <f>Verrechnung!L75-Selbstkosten!L75-Rückstellungen!L75-Rückstellungen!Y75</f>
        <v/>
      </c>
      <c r="M75" s="40">
        <f>Verrechnung!M75-Selbstkosten!M75-Rückstellungen!M75-Rückstellungen!Z75</f>
        <v/>
      </c>
      <c r="N75" s="40">
        <f>Verrechnung!N75-Selbstkosten!N75-Rückstellungen!N75-Rückstellungen!AA75</f>
        <v/>
      </c>
      <c r="O75" s="40">
        <f>Verrechnung!O75-Selbstkosten!O75-Rückstellungen!O75-Rückstellungen!AB75</f>
        <v/>
      </c>
      <c r="P75" s="28">
        <f>SUM(D75:O75)</f>
        <v/>
      </c>
      <c r="Q75" s="80">
        <f>Verrechnung!P75</f>
        <v/>
      </c>
      <c r="R75" s="29">
        <f>IFERROR(P75/Q75,0)</f>
        <v/>
      </c>
      <c r="S75" s="81">
        <f>RANK(P75,$P$9:$P$108,0)</f>
        <v/>
      </c>
      <c r="T75" s="82">
        <f>IF(P75&lt;0,RANK(P75,$P$9:$P$108,1),"")</f>
        <v/>
      </c>
    </row>
    <row r="76">
      <c r="A76" s="68">
        <f>Stammdaten!A76</f>
        <v/>
      </c>
      <c r="B76" s="69">
        <f>Stammdaten!B76</f>
        <v/>
      </c>
      <c r="C76" s="69">
        <f>Stammdaten!C76</f>
        <v/>
      </c>
      <c r="D76" s="40">
        <f>Verrechnung!D76-Selbstkosten!D76-Rückstellungen!D76-Rückstellungen!Q76</f>
        <v/>
      </c>
      <c r="E76" s="40">
        <f>Verrechnung!E76-Selbstkosten!E76-Rückstellungen!E76-Rückstellungen!R76</f>
        <v/>
      </c>
      <c r="F76" s="40">
        <f>Verrechnung!F76-Selbstkosten!F76-Rückstellungen!F76-Rückstellungen!S76</f>
        <v/>
      </c>
      <c r="G76" s="40">
        <f>Verrechnung!G76-Selbstkosten!G76-Rückstellungen!G76-Rückstellungen!T76</f>
        <v/>
      </c>
      <c r="H76" s="40">
        <f>Verrechnung!H76-Selbstkosten!H76-Rückstellungen!H76-Rückstellungen!U76</f>
        <v/>
      </c>
      <c r="I76" s="40">
        <f>Verrechnung!I76-Selbstkosten!I76-Rückstellungen!I76-Rückstellungen!V76</f>
        <v/>
      </c>
      <c r="J76" s="40">
        <f>Verrechnung!J76-Selbstkosten!J76-Rückstellungen!J76-Rückstellungen!W76</f>
        <v/>
      </c>
      <c r="K76" s="40">
        <f>Verrechnung!K76-Selbstkosten!K76-Rückstellungen!K76-Rückstellungen!X76</f>
        <v/>
      </c>
      <c r="L76" s="40">
        <f>Verrechnung!L76-Selbstkosten!L76-Rückstellungen!L76-Rückstellungen!Y76</f>
        <v/>
      </c>
      <c r="M76" s="40">
        <f>Verrechnung!M76-Selbstkosten!M76-Rückstellungen!M76-Rückstellungen!Z76</f>
        <v/>
      </c>
      <c r="N76" s="40">
        <f>Verrechnung!N76-Selbstkosten!N76-Rückstellungen!N76-Rückstellungen!AA76</f>
        <v/>
      </c>
      <c r="O76" s="40">
        <f>Verrechnung!O76-Selbstkosten!O76-Rückstellungen!O76-Rückstellungen!AB76</f>
        <v/>
      </c>
      <c r="P76" s="28">
        <f>SUM(D76:O76)</f>
        <v/>
      </c>
      <c r="Q76" s="80">
        <f>Verrechnung!P76</f>
        <v/>
      </c>
      <c r="R76" s="29">
        <f>IFERROR(P76/Q76,0)</f>
        <v/>
      </c>
      <c r="S76" s="81">
        <f>RANK(P76,$P$9:$P$108,0)</f>
        <v/>
      </c>
      <c r="T76" s="82">
        <f>IF(P76&lt;0,RANK(P76,$P$9:$P$108,1),"")</f>
        <v/>
      </c>
    </row>
    <row r="77">
      <c r="A77" s="68">
        <f>Stammdaten!A77</f>
        <v/>
      </c>
      <c r="B77" s="69">
        <f>Stammdaten!B77</f>
        <v/>
      </c>
      <c r="C77" s="69">
        <f>Stammdaten!C77</f>
        <v/>
      </c>
      <c r="D77" s="40">
        <f>Verrechnung!D77-Selbstkosten!D77-Rückstellungen!D77-Rückstellungen!Q77</f>
        <v/>
      </c>
      <c r="E77" s="40">
        <f>Verrechnung!E77-Selbstkosten!E77-Rückstellungen!E77-Rückstellungen!R77</f>
        <v/>
      </c>
      <c r="F77" s="40">
        <f>Verrechnung!F77-Selbstkosten!F77-Rückstellungen!F77-Rückstellungen!S77</f>
        <v/>
      </c>
      <c r="G77" s="40">
        <f>Verrechnung!G77-Selbstkosten!G77-Rückstellungen!G77-Rückstellungen!T77</f>
        <v/>
      </c>
      <c r="H77" s="40">
        <f>Verrechnung!H77-Selbstkosten!H77-Rückstellungen!H77-Rückstellungen!U77</f>
        <v/>
      </c>
      <c r="I77" s="40">
        <f>Verrechnung!I77-Selbstkosten!I77-Rückstellungen!I77-Rückstellungen!V77</f>
        <v/>
      </c>
      <c r="J77" s="40">
        <f>Verrechnung!J77-Selbstkosten!J77-Rückstellungen!J77-Rückstellungen!W77</f>
        <v/>
      </c>
      <c r="K77" s="40">
        <f>Verrechnung!K77-Selbstkosten!K77-Rückstellungen!K77-Rückstellungen!X77</f>
        <v/>
      </c>
      <c r="L77" s="40">
        <f>Verrechnung!L77-Selbstkosten!L77-Rückstellungen!L77-Rückstellungen!Y77</f>
        <v/>
      </c>
      <c r="M77" s="40">
        <f>Verrechnung!M77-Selbstkosten!M77-Rückstellungen!M77-Rückstellungen!Z77</f>
        <v/>
      </c>
      <c r="N77" s="40">
        <f>Verrechnung!N77-Selbstkosten!N77-Rückstellungen!N77-Rückstellungen!AA77</f>
        <v/>
      </c>
      <c r="O77" s="40">
        <f>Verrechnung!O77-Selbstkosten!O77-Rückstellungen!O77-Rückstellungen!AB77</f>
        <v/>
      </c>
      <c r="P77" s="28">
        <f>SUM(D77:O77)</f>
        <v/>
      </c>
      <c r="Q77" s="80">
        <f>Verrechnung!P77</f>
        <v/>
      </c>
      <c r="R77" s="29">
        <f>IFERROR(P77/Q77,0)</f>
        <v/>
      </c>
      <c r="S77" s="81">
        <f>RANK(P77,$P$9:$P$108,0)</f>
        <v/>
      </c>
      <c r="T77" s="82">
        <f>IF(P77&lt;0,RANK(P77,$P$9:$P$108,1),"")</f>
        <v/>
      </c>
    </row>
    <row r="78">
      <c r="A78" s="68">
        <f>Stammdaten!A78</f>
        <v/>
      </c>
      <c r="B78" s="69">
        <f>Stammdaten!B78</f>
        <v/>
      </c>
      <c r="C78" s="69">
        <f>Stammdaten!C78</f>
        <v/>
      </c>
      <c r="D78" s="40">
        <f>Verrechnung!D78-Selbstkosten!D78-Rückstellungen!D78-Rückstellungen!Q78</f>
        <v/>
      </c>
      <c r="E78" s="40">
        <f>Verrechnung!E78-Selbstkosten!E78-Rückstellungen!E78-Rückstellungen!R78</f>
        <v/>
      </c>
      <c r="F78" s="40">
        <f>Verrechnung!F78-Selbstkosten!F78-Rückstellungen!F78-Rückstellungen!S78</f>
        <v/>
      </c>
      <c r="G78" s="40">
        <f>Verrechnung!G78-Selbstkosten!G78-Rückstellungen!G78-Rückstellungen!T78</f>
        <v/>
      </c>
      <c r="H78" s="40">
        <f>Verrechnung!H78-Selbstkosten!H78-Rückstellungen!H78-Rückstellungen!U78</f>
        <v/>
      </c>
      <c r="I78" s="40">
        <f>Verrechnung!I78-Selbstkosten!I78-Rückstellungen!I78-Rückstellungen!V78</f>
        <v/>
      </c>
      <c r="J78" s="40">
        <f>Verrechnung!J78-Selbstkosten!J78-Rückstellungen!J78-Rückstellungen!W78</f>
        <v/>
      </c>
      <c r="K78" s="40">
        <f>Verrechnung!K78-Selbstkosten!K78-Rückstellungen!K78-Rückstellungen!X78</f>
        <v/>
      </c>
      <c r="L78" s="40">
        <f>Verrechnung!L78-Selbstkosten!L78-Rückstellungen!L78-Rückstellungen!Y78</f>
        <v/>
      </c>
      <c r="M78" s="40">
        <f>Verrechnung!M78-Selbstkosten!M78-Rückstellungen!M78-Rückstellungen!Z78</f>
        <v/>
      </c>
      <c r="N78" s="40">
        <f>Verrechnung!N78-Selbstkosten!N78-Rückstellungen!N78-Rückstellungen!AA78</f>
        <v/>
      </c>
      <c r="O78" s="40">
        <f>Verrechnung!O78-Selbstkosten!O78-Rückstellungen!O78-Rückstellungen!AB78</f>
        <v/>
      </c>
      <c r="P78" s="28">
        <f>SUM(D78:O78)</f>
        <v/>
      </c>
      <c r="Q78" s="80">
        <f>Verrechnung!P78</f>
        <v/>
      </c>
      <c r="R78" s="29">
        <f>IFERROR(P78/Q78,0)</f>
        <v/>
      </c>
      <c r="S78" s="81">
        <f>RANK(P78,$P$9:$P$108,0)</f>
        <v/>
      </c>
      <c r="T78" s="82">
        <f>IF(P78&lt;0,RANK(P78,$P$9:$P$108,1),"")</f>
        <v/>
      </c>
    </row>
    <row r="79">
      <c r="A79" s="71">
        <f>Stammdaten!A79</f>
        <v/>
      </c>
      <c r="B79" s="72">
        <f>Stammdaten!B79</f>
        <v/>
      </c>
      <c r="C79" s="72">
        <f>Stammdaten!C79</f>
        <v/>
      </c>
      <c r="D79" s="40">
        <f>Verrechnung!D79-Selbstkosten!D79-Rückstellungen!D79-Rückstellungen!Q79</f>
        <v/>
      </c>
      <c r="E79" s="40">
        <f>Verrechnung!E79-Selbstkosten!E79-Rückstellungen!E79-Rückstellungen!R79</f>
        <v/>
      </c>
      <c r="F79" s="40">
        <f>Verrechnung!F79-Selbstkosten!F79-Rückstellungen!F79-Rückstellungen!S79</f>
        <v/>
      </c>
      <c r="G79" s="40">
        <f>Verrechnung!G79-Selbstkosten!G79-Rückstellungen!G79-Rückstellungen!T79</f>
        <v/>
      </c>
      <c r="H79" s="40">
        <f>Verrechnung!H79-Selbstkosten!H79-Rückstellungen!H79-Rückstellungen!U79</f>
        <v/>
      </c>
      <c r="I79" s="40">
        <f>Verrechnung!I79-Selbstkosten!I79-Rückstellungen!I79-Rückstellungen!V79</f>
        <v/>
      </c>
      <c r="J79" s="40">
        <f>Verrechnung!J79-Selbstkosten!J79-Rückstellungen!J79-Rückstellungen!W79</f>
        <v/>
      </c>
      <c r="K79" s="40">
        <f>Verrechnung!K79-Selbstkosten!K79-Rückstellungen!K79-Rückstellungen!X79</f>
        <v/>
      </c>
      <c r="L79" s="40">
        <f>Verrechnung!L79-Selbstkosten!L79-Rückstellungen!L79-Rückstellungen!Y79</f>
        <v/>
      </c>
      <c r="M79" s="40">
        <f>Verrechnung!M79-Selbstkosten!M79-Rückstellungen!M79-Rückstellungen!Z79</f>
        <v/>
      </c>
      <c r="N79" s="40">
        <f>Verrechnung!N79-Selbstkosten!N79-Rückstellungen!N79-Rückstellungen!AA79</f>
        <v/>
      </c>
      <c r="O79" s="40">
        <f>Verrechnung!O79-Selbstkosten!O79-Rückstellungen!O79-Rückstellungen!AB79</f>
        <v/>
      </c>
      <c r="P79" s="28">
        <f>SUM(D79:O79)</f>
        <v/>
      </c>
      <c r="Q79" s="80">
        <f>Verrechnung!P79</f>
        <v/>
      </c>
      <c r="R79" s="29">
        <f>IFERROR(P79/Q79,0)</f>
        <v/>
      </c>
      <c r="S79" s="81">
        <f>RANK(P79,$P$9:$P$108,0)</f>
        <v/>
      </c>
      <c r="T79" s="82">
        <f>IF(P79&lt;0,RANK(P79,$P$9:$P$108,1),"")</f>
        <v/>
      </c>
    </row>
    <row r="80">
      <c r="A80" s="71">
        <f>Stammdaten!A80</f>
        <v/>
      </c>
      <c r="B80" s="72">
        <f>Stammdaten!B80</f>
        <v/>
      </c>
      <c r="C80" s="72">
        <f>Stammdaten!C80</f>
        <v/>
      </c>
      <c r="D80" s="40">
        <f>Verrechnung!D80-Selbstkosten!D80-Rückstellungen!D80-Rückstellungen!Q80</f>
        <v/>
      </c>
      <c r="E80" s="40">
        <f>Verrechnung!E80-Selbstkosten!E80-Rückstellungen!E80-Rückstellungen!R80</f>
        <v/>
      </c>
      <c r="F80" s="40">
        <f>Verrechnung!F80-Selbstkosten!F80-Rückstellungen!F80-Rückstellungen!S80</f>
        <v/>
      </c>
      <c r="G80" s="40">
        <f>Verrechnung!G80-Selbstkosten!G80-Rückstellungen!G80-Rückstellungen!T80</f>
        <v/>
      </c>
      <c r="H80" s="40">
        <f>Verrechnung!H80-Selbstkosten!H80-Rückstellungen!H80-Rückstellungen!U80</f>
        <v/>
      </c>
      <c r="I80" s="40">
        <f>Verrechnung!I80-Selbstkosten!I80-Rückstellungen!I80-Rückstellungen!V80</f>
        <v/>
      </c>
      <c r="J80" s="40">
        <f>Verrechnung!J80-Selbstkosten!J80-Rückstellungen!J80-Rückstellungen!W80</f>
        <v/>
      </c>
      <c r="K80" s="40">
        <f>Verrechnung!K80-Selbstkosten!K80-Rückstellungen!K80-Rückstellungen!X80</f>
        <v/>
      </c>
      <c r="L80" s="40">
        <f>Verrechnung!L80-Selbstkosten!L80-Rückstellungen!L80-Rückstellungen!Y80</f>
        <v/>
      </c>
      <c r="M80" s="40">
        <f>Verrechnung!M80-Selbstkosten!M80-Rückstellungen!M80-Rückstellungen!Z80</f>
        <v/>
      </c>
      <c r="N80" s="40">
        <f>Verrechnung!N80-Selbstkosten!N80-Rückstellungen!N80-Rückstellungen!AA80</f>
        <v/>
      </c>
      <c r="O80" s="40">
        <f>Verrechnung!O80-Selbstkosten!O80-Rückstellungen!O80-Rückstellungen!AB80</f>
        <v/>
      </c>
      <c r="P80" s="28">
        <f>SUM(D80:O80)</f>
        <v/>
      </c>
      <c r="Q80" s="80">
        <f>Verrechnung!P80</f>
        <v/>
      </c>
      <c r="R80" s="29">
        <f>IFERROR(P80/Q80,0)</f>
        <v/>
      </c>
      <c r="S80" s="81">
        <f>RANK(P80,$P$9:$P$108,0)</f>
        <v/>
      </c>
      <c r="T80" s="82">
        <f>IF(P80&lt;0,RANK(P80,$P$9:$P$108,1),"")</f>
        <v/>
      </c>
    </row>
    <row r="81">
      <c r="A81" s="71">
        <f>Stammdaten!A81</f>
        <v/>
      </c>
      <c r="B81" s="72">
        <f>Stammdaten!B81</f>
        <v/>
      </c>
      <c r="C81" s="72">
        <f>Stammdaten!C81</f>
        <v/>
      </c>
      <c r="D81" s="40">
        <f>Verrechnung!D81-Selbstkosten!D81-Rückstellungen!D81-Rückstellungen!Q81</f>
        <v/>
      </c>
      <c r="E81" s="40">
        <f>Verrechnung!E81-Selbstkosten!E81-Rückstellungen!E81-Rückstellungen!R81</f>
        <v/>
      </c>
      <c r="F81" s="40">
        <f>Verrechnung!F81-Selbstkosten!F81-Rückstellungen!F81-Rückstellungen!S81</f>
        <v/>
      </c>
      <c r="G81" s="40">
        <f>Verrechnung!G81-Selbstkosten!G81-Rückstellungen!G81-Rückstellungen!T81</f>
        <v/>
      </c>
      <c r="H81" s="40">
        <f>Verrechnung!H81-Selbstkosten!H81-Rückstellungen!H81-Rückstellungen!U81</f>
        <v/>
      </c>
      <c r="I81" s="40">
        <f>Verrechnung!I81-Selbstkosten!I81-Rückstellungen!I81-Rückstellungen!V81</f>
        <v/>
      </c>
      <c r="J81" s="40">
        <f>Verrechnung!J81-Selbstkosten!J81-Rückstellungen!J81-Rückstellungen!W81</f>
        <v/>
      </c>
      <c r="K81" s="40">
        <f>Verrechnung!K81-Selbstkosten!K81-Rückstellungen!K81-Rückstellungen!X81</f>
        <v/>
      </c>
      <c r="L81" s="40">
        <f>Verrechnung!L81-Selbstkosten!L81-Rückstellungen!L81-Rückstellungen!Y81</f>
        <v/>
      </c>
      <c r="M81" s="40">
        <f>Verrechnung!M81-Selbstkosten!M81-Rückstellungen!M81-Rückstellungen!Z81</f>
        <v/>
      </c>
      <c r="N81" s="40">
        <f>Verrechnung!N81-Selbstkosten!N81-Rückstellungen!N81-Rückstellungen!AA81</f>
        <v/>
      </c>
      <c r="O81" s="40">
        <f>Verrechnung!O81-Selbstkosten!O81-Rückstellungen!O81-Rückstellungen!AB81</f>
        <v/>
      </c>
      <c r="P81" s="28">
        <f>SUM(D81:O81)</f>
        <v/>
      </c>
      <c r="Q81" s="80">
        <f>Verrechnung!P81</f>
        <v/>
      </c>
      <c r="R81" s="29">
        <f>IFERROR(P81/Q81,0)</f>
        <v/>
      </c>
      <c r="S81" s="81">
        <f>RANK(P81,$P$9:$P$108,0)</f>
        <v/>
      </c>
      <c r="T81" s="82">
        <f>IF(P81&lt;0,RANK(P81,$P$9:$P$108,1),"")</f>
        <v/>
      </c>
    </row>
    <row r="82">
      <c r="A82" s="71">
        <f>Stammdaten!A82</f>
        <v/>
      </c>
      <c r="B82" s="72">
        <f>Stammdaten!B82</f>
        <v/>
      </c>
      <c r="C82" s="72">
        <f>Stammdaten!C82</f>
        <v/>
      </c>
      <c r="D82" s="40">
        <f>Verrechnung!D82-Selbstkosten!D82-Rückstellungen!D82-Rückstellungen!Q82</f>
        <v/>
      </c>
      <c r="E82" s="40">
        <f>Verrechnung!E82-Selbstkosten!E82-Rückstellungen!E82-Rückstellungen!R82</f>
        <v/>
      </c>
      <c r="F82" s="40">
        <f>Verrechnung!F82-Selbstkosten!F82-Rückstellungen!F82-Rückstellungen!S82</f>
        <v/>
      </c>
      <c r="G82" s="40">
        <f>Verrechnung!G82-Selbstkosten!G82-Rückstellungen!G82-Rückstellungen!T82</f>
        <v/>
      </c>
      <c r="H82" s="40">
        <f>Verrechnung!H82-Selbstkosten!H82-Rückstellungen!H82-Rückstellungen!U82</f>
        <v/>
      </c>
      <c r="I82" s="40">
        <f>Verrechnung!I82-Selbstkosten!I82-Rückstellungen!I82-Rückstellungen!V82</f>
        <v/>
      </c>
      <c r="J82" s="40">
        <f>Verrechnung!J82-Selbstkosten!J82-Rückstellungen!J82-Rückstellungen!W82</f>
        <v/>
      </c>
      <c r="K82" s="40">
        <f>Verrechnung!K82-Selbstkosten!K82-Rückstellungen!K82-Rückstellungen!X82</f>
        <v/>
      </c>
      <c r="L82" s="40">
        <f>Verrechnung!L82-Selbstkosten!L82-Rückstellungen!L82-Rückstellungen!Y82</f>
        <v/>
      </c>
      <c r="M82" s="40">
        <f>Verrechnung!M82-Selbstkosten!M82-Rückstellungen!M82-Rückstellungen!Z82</f>
        <v/>
      </c>
      <c r="N82" s="40">
        <f>Verrechnung!N82-Selbstkosten!N82-Rückstellungen!N82-Rückstellungen!AA82</f>
        <v/>
      </c>
      <c r="O82" s="40">
        <f>Verrechnung!O82-Selbstkosten!O82-Rückstellungen!O82-Rückstellungen!AB82</f>
        <v/>
      </c>
      <c r="P82" s="28">
        <f>SUM(D82:O82)</f>
        <v/>
      </c>
      <c r="Q82" s="80">
        <f>Verrechnung!P82</f>
        <v/>
      </c>
      <c r="R82" s="29">
        <f>IFERROR(P82/Q82,0)</f>
        <v/>
      </c>
      <c r="S82" s="81">
        <f>RANK(P82,$P$9:$P$108,0)</f>
        <v/>
      </c>
      <c r="T82" s="82">
        <f>IF(P82&lt;0,RANK(P82,$P$9:$P$108,1),"")</f>
        <v/>
      </c>
    </row>
    <row r="83">
      <c r="A83" s="71">
        <f>Stammdaten!A83</f>
        <v/>
      </c>
      <c r="B83" s="72">
        <f>Stammdaten!B83</f>
        <v/>
      </c>
      <c r="C83" s="72">
        <f>Stammdaten!C83</f>
        <v/>
      </c>
      <c r="D83" s="40">
        <f>Verrechnung!D83-Selbstkosten!D83-Rückstellungen!D83-Rückstellungen!Q83</f>
        <v/>
      </c>
      <c r="E83" s="40">
        <f>Verrechnung!E83-Selbstkosten!E83-Rückstellungen!E83-Rückstellungen!R83</f>
        <v/>
      </c>
      <c r="F83" s="40">
        <f>Verrechnung!F83-Selbstkosten!F83-Rückstellungen!F83-Rückstellungen!S83</f>
        <v/>
      </c>
      <c r="G83" s="40">
        <f>Verrechnung!G83-Selbstkosten!G83-Rückstellungen!G83-Rückstellungen!T83</f>
        <v/>
      </c>
      <c r="H83" s="40">
        <f>Verrechnung!H83-Selbstkosten!H83-Rückstellungen!H83-Rückstellungen!U83</f>
        <v/>
      </c>
      <c r="I83" s="40">
        <f>Verrechnung!I83-Selbstkosten!I83-Rückstellungen!I83-Rückstellungen!V83</f>
        <v/>
      </c>
      <c r="J83" s="40">
        <f>Verrechnung!J83-Selbstkosten!J83-Rückstellungen!J83-Rückstellungen!W83</f>
        <v/>
      </c>
      <c r="K83" s="40">
        <f>Verrechnung!K83-Selbstkosten!K83-Rückstellungen!K83-Rückstellungen!X83</f>
        <v/>
      </c>
      <c r="L83" s="40">
        <f>Verrechnung!L83-Selbstkosten!L83-Rückstellungen!L83-Rückstellungen!Y83</f>
        <v/>
      </c>
      <c r="M83" s="40">
        <f>Verrechnung!M83-Selbstkosten!M83-Rückstellungen!M83-Rückstellungen!Z83</f>
        <v/>
      </c>
      <c r="N83" s="40">
        <f>Verrechnung!N83-Selbstkosten!N83-Rückstellungen!N83-Rückstellungen!AA83</f>
        <v/>
      </c>
      <c r="O83" s="40">
        <f>Verrechnung!O83-Selbstkosten!O83-Rückstellungen!O83-Rückstellungen!AB83</f>
        <v/>
      </c>
      <c r="P83" s="28">
        <f>SUM(D83:O83)</f>
        <v/>
      </c>
      <c r="Q83" s="80">
        <f>Verrechnung!P83</f>
        <v/>
      </c>
      <c r="R83" s="29">
        <f>IFERROR(P83/Q83,0)</f>
        <v/>
      </c>
      <c r="S83" s="81">
        <f>RANK(P83,$P$9:$P$108,0)</f>
        <v/>
      </c>
      <c r="T83" s="82">
        <f>IF(P83&lt;0,RANK(P83,$P$9:$P$108,1),"")</f>
        <v/>
      </c>
    </row>
    <row r="84">
      <c r="A84" s="71">
        <f>Stammdaten!A84</f>
        <v/>
      </c>
      <c r="B84" s="72">
        <f>Stammdaten!B84</f>
        <v/>
      </c>
      <c r="C84" s="72">
        <f>Stammdaten!C84</f>
        <v/>
      </c>
      <c r="D84" s="40">
        <f>Verrechnung!D84-Selbstkosten!D84-Rückstellungen!D84-Rückstellungen!Q84</f>
        <v/>
      </c>
      <c r="E84" s="40">
        <f>Verrechnung!E84-Selbstkosten!E84-Rückstellungen!E84-Rückstellungen!R84</f>
        <v/>
      </c>
      <c r="F84" s="40">
        <f>Verrechnung!F84-Selbstkosten!F84-Rückstellungen!F84-Rückstellungen!S84</f>
        <v/>
      </c>
      <c r="G84" s="40">
        <f>Verrechnung!G84-Selbstkosten!G84-Rückstellungen!G84-Rückstellungen!T84</f>
        <v/>
      </c>
      <c r="H84" s="40">
        <f>Verrechnung!H84-Selbstkosten!H84-Rückstellungen!H84-Rückstellungen!U84</f>
        <v/>
      </c>
      <c r="I84" s="40">
        <f>Verrechnung!I84-Selbstkosten!I84-Rückstellungen!I84-Rückstellungen!V84</f>
        <v/>
      </c>
      <c r="J84" s="40">
        <f>Verrechnung!J84-Selbstkosten!J84-Rückstellungen!J84-Rückstellungen!W84</f>
        <v/>
      </c>
      <c r="K84" s="40">
        <f>Verrechnung!K84-Selbstkosten!K84-Rückstellungen!K84-Rückstellungen!X84</f>
        <v/>
      </c>
      <c r="L84" s="40">
        <f>Verrechnung!L84-Selbstkosten!L84-Rückstellungen!L84-Rückstellungen!Y84</f>
        <v/>
      </c>
      <c r="M84" s="40">
        <f>Verrechnung!M84-Selbstkosten!M84-Rückstellungen!M84-Rückstellungen!Z84</f>
        <v/>
      </c>
      <c r="N84" s="40">
        <f>Verrechnung!N84-Selbstkosten!N84-Rückstellungen!N84-Rückstellungen!AA84</f>
        <v/>
      </c>
      <c r="O84" s="40">
        <f>Verrechnung!O84-Selbstkosten!O84-Rückstellungen!O84-Rückstellungen!AB84</f>
        <v/>
      </c>
      <c r="P84" s="28">
        <f>SUM(D84:O84)</f>
        <v/>
      </c>
      <c r="Q84" s="80">
        <f>Verrechnung!P84</f>
        <v/>
      </c>
      <c r="R84" s="29">
        <f>IFERROR(P84/Q84,0)</f>
        <v/>
      </c>
      <c r="S84" s="81">
        <f>RANK(P84,$P$9:$P$108,0)</f>
        <v/>
      </c>
      <c r="T84" s="82">
        <f>IF(P84&lt;0,RANK(P84,$P$9:$P$108,1),"")</f>
        <v/>
      </c>
    </row>
    <row r="85">
      <c r="A85" s="71">
        <f>Stammdaten!A85</f>
        <v/>
      </c>
      <c r="B85" s="72">
        <f>Stammdaten!B85</f>
        <v/>
      </c>
      <c r="C85" s="72">
        <f>Stammdaten!C85</f>
        <v/>
      </c>
      <c r="D85" s="40">
        <f>Verrechnung!D85-Selbstkosten!D85-Rückstellungen!D85-Rückstellungen!Q85</f>
        <v/>
      </c>
      <c r="E85" s="40">
        <f>Verrechnung!E85-Selbstkosten!E85-Rückstellungen!E85-Rückstellungen!R85</f>
        <v/>
      </c>
      <c r="F85" s="40">
        <f>Verrechnung!F85-Selbstkosten!F85-Rückstellungen!F85-Rückstellungen!S85</f>
        <v/>
      </c>
      <c r="G85" s="40">
        <f>Verrechnung!G85-Selbstkosten!G85-Rückstellungen!G85-Rückstellungen!T85</f>
        <v/>
      </c>
      <c r="H85" s="40">
        <f>Verrechnung!H85-Selbstkosten!H85-Rückstellungen!H85-Rückstellungen!U85</f>
        <v/>
      </c>
      <c r="I85" s="40">
        <f>Verrechnung!I85-Selbstkosten!I85-Rückstellungen!I85-Rückstellungen!V85</f>
        <v/>
      </c>
      <c r="J85" s="40">
        <f>Verrechnung!J85-Selbstkosten!J85-Rückstellungen!J85-Rückstellungen!W85</f>
        <v/>
      </c>
      <c r="K85" s="40">
        <f>Verrechnung!K85-Selbstkosten!K85-Rückstellungen!K85-Rückstellungen!X85</f>
        <v/>
      </c>
      <c r="L85" s="40">
        <f>Verrechnung!L85-Selbstkosten!L85-Rückstellungen!L85-Rückstellungen!Y85</f>
        <v/>
      </c>
      <c r="M85" s="40">
        <f>Verrechnung!M85-Selbstkosten!M85-Rückstellungen!M85-Rückstellungen!Z85</f>
        <v/>
      </c>
      <c r="N85" s="40">
        <f>Verrechnung!N85-Selbstkosten!N85-Rückstellungen!N85-Rückstellungen!AA85</f>
        <v/>
      </c>
      <c r="O85" s="40">
        <f>Verrechnung!O85-Selbstkosten!O85-Rückstellungen!O85-Rückstellungen!AB85</f>
        <v/>
      </c>
      <c r="P85" s="28">
        <f>SUM(D85:O85)</f>
        <v/>
      </c>
      <c r="Q85" s="80">
        <f>Verrechnung!P85</f>
        <v/>
      </c>
      <c r="R85" s="29">
        <f>IFERROR(P85/Q85,0)</f>
        <v/>
      </c>
      <c r="S85" s="81">
        <f>RANK(P85,$P$9:$P$108,0)</f>
        <v/>
      </c>
      <c r="T85" s="82">
        <f>IF(P85&lt;0,RANK(P85,$P$9:$P$108,1),"")</f>
        <v/>
      </c>
    </row>
    <row r="86">
      <c r="A86" s="71">
        <f>Stammdaten!A86</f>
        <v/>
      </c>
      <c r="B86" s="72">
        <f>Stammdaten!B86</f>
        <v/>
      </c>
      <c r="C86" s="72">
        <f>Stammdaten!C86</f>
        <v/>
      </c>
      <c r="D86" s="40">
        <f>Verrechnung!D86-Selbstkosten!D86-Rückstellungen!D86-Rückstellungen!Q86</f>
        <v/>
      </c>
      <c r="E86" s="40">
        <f>Verrechnung!E86-Selbstkosten!E86-Rückstellungen!E86-Rückstellungen!R86</f>
        <v/>
      </c>
      <c r="F86" s="40">
        <f>Verrechnung!F86-Selbstkosten!F86-Rückstellungen!F86-Rückstellungen!S86</f>
        <v/>
      </c>
      <c r="G86" s="40">
        <f>Verrechnung!G86-Selbstkosten!G86-Rückstellungen!G86-Rückstellungen!T86</f>
        <v/>
      </c>
      <c r="H86" s="40">
        <f>Verrechnung!H86-Selbstkosten!H86-Rückstellungen!H86-Rückstellungen!U86</f>
        <v/>
      </c>
      <c r="I86" s="40">
        <f>Verrechnung!I86-Selbstkosten!I86-Rückstellungen!I86-Rückstellungen!V86</f>
        <v/>
      </c>
      <c r="J86" s="40">
        <f>Verrechnung!J86-Selbstkosten!J86-Rückstellungen!J86-Rückstellungen!W86</f>
        <v/>
      </c>
      <c r="K86" s="40">
        <f>Verrechnung!K86-Selbstkosten!K86-Rückstellungen!K86-Rückstellungen!X86</f>
        <v/>
      </c>
      <c r="L86" s="40">
        <f>Verrechnung!L86-Selbstkosten!L86-Rückstellungen!L86-Rückstellungen!Y86</f>
        <v/>
      </c>
      <c r="M86" s="40">
        <f>Verrechnung!M86-Selbstkosten!M86-Rückstellungen!M86-Rückstellungen!Z86</f>
        <v/>
      </c>
      <c r="N86" s="40">
        <f>Verrechnung!N86-Selbstkosten!N86-Rückstellungen!N86-Rückstellungen!AA86</f>
        <v/>
      </c>
      <c r="O86" s="40">
        <f>Verrechnung!O86-Selbstkosten!O86-Rückstellungen!O86-Rückstellungen!AB86</f>
        <v/>
      </c>
      <c r="P86" s="28">
        <f>SUM(D86:O86)</f>
        <v/>
      </c>
      <c r="Q86" s="80">
        <f>Verrechnung!P86</f>
        <v/>
      </c>
      <c r="R86" s="29">
        <f>IFERROR(P86/Q86,0)</f>
        <v/>
      </c>
      <c r="S86" s="81">
        <f>RANK(P86,$P$9:$P$108,0)</f>
        <v/>
      </c>
      <c r="T86" s="82">
        <f>IF(P86&lt;0,RANK(P86,$P$9:$P$108,1),"")</f>
        <v/>
      </c>
    </row>
    <row r="87">
      <c r="A87" s="71">
        <f>Stammdaten!A87</f>
        <v/>
      </c>
      <c r="B87" s="72">
        <f>Stammdaten!B87</f>
        <v/>
      </c>
      <c r="C87" s="72">
        <f>Stammdaten!C87</f>
        <v/>
      </c>
      <c r="D87" s="40">
        <f>Verrechnung!D87-Selbstkosten!D87-Rückstellungen!D87-Rückstellungen!Q87</f>
        <v/>
      </c>
      <c r="E87" s="40">
        <f>Verrechnung!E87-Selbstkosten!E87-Rückstellungen!E87-Rückstellungen!R87</f>
        <v/>
      </c>
      <c r="F87" s="40">
        <f>Verrechnung!F87-Selbstkosten!F87-Rückstellungen!F87-Rückstellungen!S87</f>
        <v/>
      </c>
      <c r="G87" s="40">
        <f>Verrechnung!G87-Selbstkosten!G87-Rückstellungen!G87-Rückstellungen!T87</f>
        <v/>
      </c>
      <c r="H87" s="40">
        <f>Verrechnung!H87-Selbstkosten!H87-Rückstellungen!H87-Rückstellungen!U87</f>
        <v/>
      </c>
      <c r="I87" s="40">
        <f>Verrechnung!I87-Selbstkosten!I87-Rückstellungen!I87-Rückstellungen!V87</f>
        <v/>
      </c>
      <c r="J87" s="40">
        <f>Verrechnung!J87-Selbstkosten!J87-Rückstellungen!J87-Rückstellungen!W87</f>
        <v/>
      </c>
      <c r="K87" s="40">
        <f>Verrechnung!K87-Selbstkosten!K87-Rückstellungen!K87-Rückstellungen!X87</f>
        <v/>
      </c>
      <c r="L87" s="40">
        <f>Verrechnung!L87-Selbstkosten!L87-Rückstellungen!L87-Rückstellungen!Y87</f>
        <v/>
      </c>
      <c r="M87" s="40">
        <f>Verrechnung!M87-Selbstkosten!M87-Rückstellungen!M87-Rückstellungen!Z87</f>
        <v/>
      </c>
      <c r="N87" s="40">
        <f>Verrechnung!N87-Selbstkosten!N87-Rückstellungen!N87-Rückstellungen!AA87</f>
        <v/>
      </c>
      <c r="O87" s="40">
        <f>Verrechnung!O87-Selbstkosten!O87-Rückstellungen!O87-Rückstellungen!AB87</f>
        <v/>
      </c>
      <c r="P87" s="28">
        <f>SUM(D87:O87)</f>
        <v/>
      </c>
      <c r="Q87" s="80">
        <f>Verrechnung!P87</f>
        <v/>
      </c>
      <c r="R87" s="29">
        <f>IFERROR(P87/Q87,0)</f>
        <v/>
      </c>
      <c r="S87" s="81">
        <f>RANK(P87,$P$9:$P$108,0)</f>
        <v/>
      </c>
      <c r="T87" s="82">
        <f>IF(P87&lt;0,RANK(P87,$P$9:$P$108,1),"")</f>
        <v/>
      </c>
    </row>
    <row r="88">
      <c r="A88" s="71">
        <f>Stammdaten!A88</f>
        <v/>
      </c>
      <c r="B88" s="72">
        <f>Stammdaten!B88</f>
        <v/>
      </c>
      <c r="C88" s="72">
        <f>Stammdaten!C88</f>
        <v/>
      </c>
      <c r="D88" s="40">
        <f>Verrechnung!D88-Selbstkosten!D88-Rückstellungen!D88-Rückstellungen!Q88</f>
        <v/>
      </c>
      <c r="E88" s="40">
        <f>Verrechnung!E88-Selbstkosten!E88-Rückstellungen!E88-Rückstellungen!R88</f>
        <v/>
      </c>
      <c r="F88" s="40">
        <f>Verrechnung!F88-Selbstkosten!F88-Rückstellungen!F88-Rückstellungen!S88</f>
        <v/>
      </c>
      <c r="G88" s="40">
        <f>Verrechnung!G88-Selbstkosten!G88-Rückstellungen!G88-Rückstellungen!T88</f>
        <v/>
      </c>
      <c r="H88" s="40">
        <f>Verrechnung!H88-Selbstkosten!H88-Rückstellungen!H88-Rückstellungen!U88</f>
        <v/>
      </c>
      <c r="I88" s="40">
        <f>Verrechnung!I88-Selbstkosten!I88-Rückstellungen!I88-Rückstellungen!V88</f>
        <v/>
      </c>
      <c r="J88" s="40">
        <f>Verrechnung!J88-Selbstkosten!J88-Rückstellungen!J88-Rückstellungen!W88</f>
        <v/>
      </c>
      <c r="K88" s="40">
        <f>Verrechnung!K88-Selbstkosten!K88-Rückstellungen!K88-Rückstellungen!X88</f>
        <v/>
      </c>
      <c r="L88" s="40">
        <f>Verrechnung!L88-Selbstkosten!L88-Rückstellungen!L88-Rückstellungen!Y88</f>
        <v/>
      </c>
      <c r="M88" s="40">
        <f>Verrechnung!M88-Selbstkosten!M88-Rückstellungen!M88-Rückstellungen!Z88</f>
        <v/>
      </c>
      <c r="N88" s="40">
        <f>Verrechnung!N88-Selbstkosten!N88-Rückstellungen!N88-Rückstellungen!AA88</f>
        <v/>
      </c>
      <c r="O88" s="40">
        <f>Verrechnung!O88-Selbstkosten!O88-Rückstellungen!O88-Rückstellungen!AB88</f>
        <v/>
      </c>
      <c r="P88" s="28">
        <f>SUM(D88:O88)</f>
        <v/>
      </c>
      <c r="Q88" s="80">
        <f>Verrechnung!P88</f>
        <v/>
      </c>
      <c r="R88" s="29">
        <f>IFERROR(P88/Q88,0)</f>
        <v/>
      </c>
      <c r="S88" s="81">
        <f>RANK(P88,$P$9:$P$108,0)</f>
        <v/>
      </c>
      <c r="T88" s="82">
        <f>IF(P88&lt;0,RANK(P88,$P$9:$P$108,1),"")</f>
        <v/>
      </c>
    </row>
    <row r="89">
      <c r="A89" s="68">
        <f>Stammdaten!A89</f>
        <v/>
      </c>
      <c r="B89" s="69">
        <f>Stammdaten!B89</f>
        <v/>
      </c>
      <c r="C89" s="69">
        <f>Stammdaten!C89</f>
        <v/>
      </c>
      <c r="D89" s="40">
        <f>Verrechnung!D89-Selbstkosten!D89-Rückstellungen!D89-Rückstellungen!Q89</f>
        <v/>
      </c>
      <c r="E89" s="40">
        <f>Verrechnung!E89-Selbstkosten!E89-Rückstellungen!E89-Rückstellungen!R89</f>
        <v/>
      </c>
      <c r="F89" s="40">
        <f>Verrechnung!F89-Selbstkosten!F89-Rückstellungen!F89-Rückstellungen!S89</f>
        <v/>
      </c>
      <c r="G89" s="40">
        <f>Verrechnung!G89-Selbstkosten!G89-Rückstellungen!G89-Rückstellungen!T89</f>
        <v/>
      </c>
      <c r="H89" s="40">
        <f>Verrechnung!H89-Selbstkosten!H89-Rückstellungen!H89-Rückstellungen!U89</f>
        <v/>
      </c>
      <c r="I89" s="40">
        <f>Verrechnung!I89-Selbstkosten!I89-Rückstellungen!I89-Rückstellungen!V89</f>
        <v/>
      </c>
      <c r="J89" s="40">
        <f>Verrechnung!J89-Selbstkosten!J89-Rückstellungen!J89-Rückstellungen!W89</f>
        <v/>
      </c>
      <c r="K89" s="40">
        <f>Verrechnung!K89-Selbstkosten!K89-Rückstellungen!K89-Rückstellungen!X89</f>
        <v/>
      </c>
      <c r="L89" s="40">
        <f>Verrechnung!L89-Selbstkosten!L89-Rückstellungen!L89-Rückstellungen!Y89</f>
        <v/>
      </c>
      <c r="M89" s="40">
        <f>Verrechnung!M89-Selbstkosten!M89-Rückstellungen!M89-Rückstellungen!Z89</f>
        <v/>
      </c>
      <c r="N89" s="40">
        <f>Verrechnung!N89-Selbstkosten!N89-Rückstellungen!N89-Rückstellungen!AA89</f>
        <v/>
      </c>
      <c r="O89" s="40">
        <f>Verrechnung!O89-Selbstkosten!O89-Rückstellungen!O89-Rückstellungen!AB89</f>
        <v/>
      </c>
      <c r="P89" s="28">
        <f>SUM(D89:O89)</f>
        <v/>
      </c>
      <c r="Q89" s="80">
        <f>Verrechnung!P89</f>
        <v/>
      </c>
      <c r="R89" s="29">
        <f>IFERROR(P89/Q89,0)</f>
        <v/>
      </c>
      <c r="S89" s="81">
        <f>RANK(P89,$P$9:$P$108,0)</f>
        <v/>
      </c>
      <c r="T89" s="82">
        <f>IF(P89&lt;0,RANK(P89,$P$9:$P$108,1),"")</f>
        <v/>
      </c>
    </row>
    <row r="90">
      <c r="A90" s="68">
        <f>Stammdaten!A90</f>
        <v/>
      </c>
      <c r="B90" s="69">
        <f>Stammdaten!B90</f>
        <v/>
      </c>
      <c r="C90" s="69">
        <f>Stammdaten!C90</f>
        <v/>
      </c>
      <c r="D90" s="40">
        <f>Verrechnung!D90-Selbstkosten!D90-Rückstellungen!D90-Rückstellungen!Q90</f>
        <v/>
      </c>
      <c r="E90" s="40">
        <f>Verrechnung!E90-Selbstkosten!E90-Rückstellungen!E90-Rückstellungen!R90</f>
        <v/>
      </c>
      <c r="F90" s="40">
        <f>Verrechnung!F90-Selbstkosten!F90-Rückstellungen!F90-Rückstellungen!S90</f>
        <v/>
      </c>
      <c r="G90" s="40">
        <f>Verrechnung!G90-Selbstkosten!G90-Rückstellungen!G90-Rückstellungen!T90</f>
        <v/>
      </c>
      <c r="H90" s="40">
        <f>Verrechnung!H90-Selbstkosten!H90-Rückstellungen!H90-Rückstellungen!U90</f>
        <v/>
      </c>
      <c r="I90" s="40">
        <f>Verrechnung!I90-Selbstkosten!I90-Rückstellungen!I90-Rückstellungen!V90</f>
        <v/>
      </c>
      <c r="J90" s="40">
        <f>Verrechnung!J90-Selbstkosten!J90-Rückstellungen!J90-Rückstellungen!W90</f>
        <v/>
      </c>
      <c r="K90" s="40">
        <f>Verrechnung!K90-Selbstkosten!K90-Rückstellungen!K90-Rückstellungen!X90</f>
        <v/>
      </c>
      <c r="L90" s="40">
        <f>Verrechnung!L90-Selbstkosten!L90-Rückstellungen!L90-Rückstellungen!Y90</f>
        <v/>
      </c>
      <c r="M90" s="40">
        <f>Verrechnung!M90-Selbstkosten!M90-Rückstellungen!M90-Rückstellungen!Z90</f>
        <v/>
      </c>
      <c r="N90" s="40">
        <f>Verrechnung!N90-Selbstkosten!N90-Rückstellungen!N90-Rückstellungen!AA90</f>
        <v/>
      </c>
      <c r="O90" s="40">
        <f>Verrechnung!O90-Selbstkosten!O90-Rückstellungen!O90-Rückstellungen!AB90</f>
        <v/>
      </c>
      <c r="P90" s="28">
        <f>SUM(D90:O90)</f>
        <v/>
      </c>
      <c r="Q90" s="80">
        <f>Verrechnung!P90</f>
        <v/>
      </c>
      <c r="R90" s="29">
        <f>IFERROR(P90/Q90,0)</f>
        <v/>
      </c>
      <c r="S90" s="81">
        <f>RANK(P90,$P$9:$P$108,0)</f>
        <v/>
      </c>
      <c r="T90" s="82">
        <f>IF(P90&lt;0,RANK(P90,$P$9:$P$108,1),"")</f>
        <v/>
      </c>
    </row>
    <row r="91">
      <c r="A91" s="68">
        <f>Stammdaten!A91</f>
        <v/>
      </c>
      <c r="B91" s="69">
        <f>Stammdaten!B91</f>
        <v/>
      </c>
      <c r="C91" s="69">
        <f>Stammdaten!C91</f>
        <v/>
      </c>
      <c r="D91" s="40">
        <f>Verrechnung!D91-Selbstkosten!D91-Rückstellungen!D91-Rückstellungen!Q91</f>
        <v/>
      </c>
      <c r="E91" s="40">
        <f>Verrechnung!E91-Selbstkosten!E91-Rückstellungen!E91-Rückstellungen!R91</f>
        <v/>
      </c>
      <c r="F91" s="40">
        <f>Verrechnung!F91-Selbstkosten!F91-Rückstellungen!F91-Rückstellungen!S91</f>
        <v/>
      </c>
      <c r="G91" s="40">
        <f>Verrechnung!G91-Selbstkosten!G91-Rückstellungen!G91-Rückstellungen!T91</f>
        <v/>
      </c>
      <c r="H91" s="40">
        <f>Verrechnung!H91-Selbstkosten!H91-Rückstellungen!H91-Rückstellungen!U91</f>
        <v/>
      </c>
      <c r="I91" s="40">
        <f>Verrechnung!I91-Selbstkosten!I91-Rückstellungen!I91-Rückstellungen!V91</f>
        <v/>
      </c>
      <c r="J91" s="40">
        <f>Verrechnung!J91-Selbstkosten!J91-Rückstellungen!J91-Rückstellungen!W91</f>
        <v/>
      </c>
      <c r="K91" s="40">
        <f>Verrechnung!K91-Selbstkosten!K91-Rückstellungen!K91-Rückstellungen!X91</f>
        <v/>
      </c>
      <c r="L91" s="40">
        <f>Verrechnung!L91-Selbstkosten!L91-Rückstellungen!L91-Rückstellungen!Y91</f>
        <v/>
      </c>
      <c r="M91" s="40">
        <f>Verrechnung!M91-Selbstkosten!M91-Rückstellungen!M91-Rückstellungen!Z91</f>
        <v/>
      </c>
      <c r="N91" s="40">
        <f>Verrechnung!N91-Selbstkosten!N91-Rückstellungen!N91-Rückstellungen!AA91</f>
        <v/>
      </c>
      <c r="O91" s="40">
        <f>Verrechnung!O91-Selbstkosten!O91-Rückstellungen!O91-Rückstellungen!AB91</f>
        <v/>
      </c>
      <c r="P91" s="28">
        <f>SUM(D91:O91)</f>
        <v/>
      </c>
      <c r="Q91" s="80">
        <f>Verrechnung!P91</f>
        <v/>
      </c>
      <c r="R91" s="29">
        <f>IFERROR(P91/Q91,0)</f>
        <v/>
      </c>
      <c r="S91" s="81">
        <f>RANK(P91,$P$9:$P$108,0)</f>
        <v/>
      </c>
      <c r="T91" s="82">
        <f>IF(P91&lt;0,RANK(P91,$P$9:$P$108,1),"")</f>
        <v/>
      </c>
    </row>
    <row r="92">
      <c r="A92" s="68">
        <f>Stammdaten!A92</f>
        <v/>
      </c>
      <c r="B92" s="69">
        <f>Stammdaten!B92</f>
        <v/>
      </c>
      <c r="C92" s="69">
        <f>Stammdaten!C92</f>
        <v/>
      </c>
      <c r="D92" s="40">
        <f>Verrechnung!D92-Selbstkosten!D92-Rückstellungen!D92-Rückstellungen!Q92</f>
        <v/>
      </c>
      <c r="E92" s="40">
        <f>Verrechnung!E92-Selbstkosten!E92-Rückstellungen!E92-Rückstellungen!R92</f>
        <v/>
      </c>
      <c r="F92" s="40">
        <f>Verrechnung!F92-Selbstkosten!F92-Rückstellungen!F92-Rückstellungen!S92</f>
        <v/>
      </c>
      <c r="G92" s="40">
        <f>Verrechnung!G92-Selbstkosten!G92-Rückstellungen!G92-Rückstellungen!T92</f>
        <v/>
      </c>
      <c r="H92" s="40">
        <f>Verrechnung!H92-Selbstkosten!H92-Rückstellungen!H92-Rückstellungen!U92</f>
        <v/>
      </c>
      <c r="I92" s="40">
        <f>Verrechnung!I92-Selbstkosten!I92-Rückstellungen!I92-Rückstellungen!V92</f>
        <v/>
      </c>
      <c r="J92" s="40">
        <f>Verrechnung!J92-Selbstkosten!J92-Rückstellungen!J92-Rückstellungen!W92</f>
        <v/>
      </c>
      <c r="K92" s="40">
        <f>Verrechnung!K92-Selbstkosten!K92-Rückstellungen!K92-Rückstellungen!X92</f>
        <v/>
      </c>
      <c r="L92" s="40">
        <f>Verrechnung!L92-Selbstkosten!L92-Rückstellungen!L92-Rückstellungen!Y92</f>
        <v/>
      </c>
      <c r="M92" s="40">
        <f>Verrechnung!M92-Selbstkosten!M92-Rückstellungen!M92-Rückstellungen!Z92</f>
        <v/>
      </c>
      <c r="N92" s="40">
        <f>Verrechnung!N92-Selbstkosten!N92-Rückstellungen!N92-Rückstellungen!AA92</f>
        <v/>
      </c>
      <c r="O92" s="40">
        <f>Verrechnung!O92-Selbstkosten!O92-Rückstellungen!O92-Rückstellungen!AB92</f>
        <v/>
      </c>
      <c r="P92" s="28">
        <f>SUM(D92:O92)</f>
        <v/>
      </c>
      <c r="Q92" s="80">
        <f>Verrechnung!P92</f>
        <v/>
      </c>
      <c r="R92" s="29">
        <f>IFERROR(P92/Q92,0)</f>
        <v/>
      </c>
      <c r="S92" s="81">
        <f>RANK(P92,$P$9:$P$108,0)</f>
        <v/>
      </c>
      <c r="T92" s="82">
        <f>IF(P92&lt;0,RANK(P92,$P$9:$P$108,1),"")</f>
        <v/>
      </c>
    </row>
    <row r="93">
      <c r="A93" s="68">
        <f>Stammdaten!A93</f>
        <v/>
      </c>
      <c r="B93" s="69">
        <f>Stammdaten!B93</f>
        <v/>
      </c>
      <c r="C93" s="69">
        <f>Stammdaten!C93</f>
        <v/>
      </c>
      <c r="D93" s="40">
        <f>Verrechnung!D93-Selbstkosten!D93-Rückstellungen!D93-Rückstellungen!Q93</f>
        <v/>
      </c>
      <c r="E93" s="40">
        <f>Verrechnung!E93-Selbstkosten!E93-Rückstellungen!E93-Rückstellungen!R93</f>
        <v/>
      </c>
      <c r="F93" s="40">
        <f>Verrechnung!F93-Selbstkosten!F93-Rückstellungen!F93-Rückstellungen!S93</f>
        <v/>
      </c>
      <c r="G93" s="40">
        <f>Verrechnung!G93-Selbstkosten!G93-Rückstellungen!G93-Rückstellungen!T93</f>
        <v/>
      </c>
      <c r="H93" s="40">
        <f>Verrechnung!H93-Selbstkosten!H93-Rückstellungen!H93-Rückstellungen!U93</f>
        <v/>
      </c>
      <c r="I93" s="40">
        <f>Verrechnung!I93-Selbstkosten!I93-Rückstellungen!I93-Rückstellungen!V93</f>
        <v/>
      </c>
      <c r="J93" s="40">
        <f>Verrechnung!J93-Selbstkosten!J93-Rückstellungen!J93-Rückstellungen!W93</f>
        <v/>
      </c>
      <c r="K93" s="40">
        <f>Verrechnung!K93-Selbstkosten!K93-Rückstellungen!K93-Rückstellungen!X93</f>
        <v/>
      </c>
      <c r="L93" s="40">
        <f>Verrechnung!L93-Selbstkosten!L93-Rückstellungen!L93-Rückstellungen!Y93</f>
        <v/>
      </c>
      <c r="M93" s="40">
        <f>Verrechnung!M93-Selbstkosten!M93-Rückstellungen!M93-Rückstellungen!Z93</f>
        <v/>
      </c>
      <c r="N93" s="40">
        <f>Verrechnung!N93-Selbstkosten!N93-Rückstellungen!N93-Rückstellungen!AA93</f>
        <v/>
      </c>
      <c r="O93" s="40">
        <f>Verrechnung!O93-Selbstkosten!O93-Rückstellungen!O93-Rückstellungen!AB93</f>
        <v/>
      </c>
      <c r="P93" s="28">
        <f>SUM(D93:O93)</f>
        <v/>
      </c>
      <c r="Q93" s="80">
        <f>Verrechnung!P93</f>
        <v/>
      </c>
      <c r="R93" s="29">
        <f>IFERROR(P93/Q93,0)</f>
        <v/>
      </c>
      <c r="S93" s="81">
        <f>RANK(P93,$P$9:$P$108,0)</f>
        <v/>
      </c>
      <c r="T93" s="82">
        <f>IF(P93&lt;0,RANK(P93,$P$9:$P$108,1),"")</f>
        <v/>
      </c>
    </row>
    <row r="94">
      <c r="A94" s="68">
        <f>Stammdaten!A94</f>
        <v/>
      </c>
      <c r="B94" s="69">
        <f>Stammdaten!B94</f>
        <v/>
      </c>
      <c r="C94" s="69">
        <f>Stammdaten!C94</f>
        <v/>
      </c>
      <c r="D94" s="40">
        <f>Verrechnung!D94-Selbstkosten!D94-Rückstellungen!D94-Rückstellungen!Q94</f>
        <v/>
      </c>
      <c r="E94" s="40">
        <f>Verrechnung!E94-Selbstkosten!E94-Rückstellungen!E94-Rückstellungen!R94</f>
        <v/>
      </c>
      <c r="F94" s="40">
        <f>Verrechnung!F94-Selbstkosten!F94-Rückstellungen!F94-Rückstellungen!S94</f>
        <v/>
      </c>
      <c r="G94" s="40">
        <f>Verrechnung!G94-Selbstkosten!G94-Rückstellungen!G94-Rückstellungen!T94</f>
        <v/>
      </c>
      <c r="H94" s="40">
        <f>Verrechnung!H94-Selbstkosten!H94-Rückstellungen!H94-Rückstellungen!U94</f>
        <v/>
      </c>
      <c r="I94" s="40">
        <f>Verrechnung!I94-Selbstkosten!I94-Rückstellungen!I94-Rückstellungen!V94</f>
        <v/>
      </c>
      <c r="J94" s="40">
        <f>Verrechnung!J94-Selbstkosten!J94-Rückstellungen!J94-Rückstellungen!W94</f>
        <v/>
      </c>
      <c r="K94" s="40">
        <f>Verrechnung!K94-Selbstkosten!K94-Rückstellungen!K94-Rückstellungen!X94</f>
        <v/>
      </c>
      <c r="L94" s="40">
        <f>Verrechnung!L94-Selbstkosten!L94-Rückstellungen!L94-Rückstellungen!Y94</f>
        <v/>
      </c>
      <c r="M94" s="40">
        <f>Verrechnung!M94-Selbstkosten!M94-Rückstellungen!M94-Rückstellungen!Z94</f>
        <v/>
      </c>
      <c r="N94" s="40">
        <f>Verrechnung!N94-Selbstkosten!N94-Rückstellungen!N94-Rückstellungen!AA94</f>
        <v/>
      </c>
      <c r="O94" s="40">
        <f>Verrechnung!O94-Selbstkosten!O94-Rückstellungen!O94-Rückstellungen!AB94</f>
        <v/>
      </c>
      <c r="P94" s="28">
        <f>SUM(D94:O94)</f>
        <v/>
      </c>
      <c r="Q94" s="80">
        <f>Verrechnung!P94</f>
        <v/>
      </c>
      <c r="R94" s="29">
        <f>IFERROR(P94/Q94,0)</f>
        <v/>
      </c>
      <c r="S94" s="81">
        <f>RANK(P94,$P$9:$P$108,0)</f>
        <v/>
      </c>
      <c r="T94" s="82">
        <f>IF(P94&lt;0,RANK(P94,$P$9:$P$108,1),"")</f>
        <v/>
      </c>
    </row>
    <row r="95">
      <c r="A95" s="68">
        <f>Stammdaten!A95</f>
        <v/>
      </c>
      <c r="B95" s="69">
        <f>Stammdaten!B95</f>
        <v/>
      </c>
      <c r="C95" s="69">
        <f>Stammdaten!C95</f>
        <v/>
      </c>
      <c r="D95" s="40">
        <f>Verrechnung!D95-Selbstkosten!D95-Rückstellungen!D95-Rückstellungen!Q95</f>
        <v/>
      </c>
      <c r="E95" s="40">
        <f>Verrechnung!E95-Selbstkosten!E95-Rückstellungen!E95-Rückstellungen!R95</f>
        <v/>
      </c>
      <c r="F95" s="40">
        <f>Verrechnung!F95-Selbstkosten!F95-Rückstellungen!F95-Rückstellungen!S95</f>
        <v/>
      </c>
      <c r="G95" s="40">
        <f>Verrechnung!G95-Selbstkosten!G95-Rückstellungen!G95-Rückstellungen!T95</f>
        <v/>
      </c>
      <c r="H95" s="40">
        <f>Verrechnung!H95-Selbstkosten!H95-Rückstellungen!H95-Rückstellungen!U95</f>
        <v/>
      </c>
      <c r="I95" s="40">
        <f>Verrechnung!I95-Selbstkosten!I95-Rückstellungen!I95-Rückstellungen!V95</f>
        <v/>
      </c>
      <c r="J95" s="40">
        <f>Verrechnung!J95-Selbstkosten!J95-Rückstellungen!J95-Rückstellungen!W95</f>
        <v/>
      </c>
      <c r="K95" s="40">
        <f>Verrechnung!K95-Selbstkosten!K95-Rückstellungen!K95-Rückstellungen!X95</f>
        <v/>
      </c>
      <c r="L95" s="40">
        <f>Verrechnung!L95-Selbstkosten!L95-Rückstellungen!L95-Rückstellungen!Y95</f>
        <v/>
      </c>
      <c r="M95" s="40">
        <f>Verrechnung!M95-Selbstkosten!M95-Rückstellungen!M95-Rückstellungen!Z95</f>
        <v/>
      </c>
      <c r="N95" s="40">
        <f>Verrechnung!N95-Selbstkosten!N95-Rückstellungen!N95-Rückstellungen!AA95</f>
        <v/>
      </c>
      <c r="O95" s="40">
        <f>Verrechnung!O95-Selbstkosten!O95-Rückstellungen!O95-Rückstellungen!AB95</f>
        <v/>
      </c>
      <c r="P95" s="28">
        <f>SUM(D95:O95)</f>
        <v/>
      </c>
      <c r="Q95" s="80">
        <f>Verrechnung!P95</f>
        <v/>
      </c>
      <c r="R95" s="29">
        <f>IFERROR(P95/Q95,0)</f>
        <v/>
      </c>
      <c r="S95" s="81">
        <f>RANK(P95,$P$9:$P$108,0)</f>
        <v/>
      </c>
      <c r="T95" s="82">
        <f>IF(P95&lt;0,RANK(P95,$P$9:$P$108,1),"")</f>
        <v/>
      </c>
    </row>
    <row r="96">
      <c r="A96" s="68">
        <f>Stammdaten!A96</f>
        <v/>
      </c>
      <c r="B96" s="69">
        <f>Stammdaten!B96</f>
        <v/>
      </c>
      <c r="C96" s="69">
        <f>Stammdaten!C96</f>
        <v/>
      </c>
      <c r="D96" s="40">
        <f>Verrechnung!D96-Selbstkosten!D96-Rückstellungen!D96-Rückstellungen!Q96</f>
        <v/>
      </c>
      <c r="E96" s="40">
        <f>Verrechnung!E96-Selbstkosten!E96-Rückstellungen!E96-Rückstellungen!R96</f>
        <v/>
      </c>
      <c r="F96" s="40">
        <f>Verrechnung!F96-Selbstkosten!F96-Rückstellungen!F96-Rückstellungen!S96</f>
        <v/>
      </c>
      <c r="G96" s="40">
        <f>Verrechnung!G96-Selbstkosten!G96-Rückstellungen!G96-Rückstellungen!T96</f>
        <v/>
      </c>
      <c r="H96" s="40">
        <f>Verrechnung!H96-Selbstkosten!H96-Rückstellungen!H96-Rückstellungen!U96</f>
        <v/>
      </c>
      <c r="I96" s="40">
        <f>Verrechnung!I96-Selbstkosten!I96-Rückstellungen!I96-Rückstellungen!V96</f>
        <v/>
      </c>
      <c r="J96" s="40">
        <f>Verrechnung!J96-Selbstkosten!J96-Rückstellungen!J96-Rückstellungen!W96</f>
        <v/>
      </c>
      <c r="K96" s="40">
        <f>Verrechnung!K96-Selbstkosten!K96-Rückstellungen!K96-Rückstellungen!X96</f>
        <v/>
      </c>
      <c r="L96" s="40">
        <f>Verrechnung!L96-Selbstkosten!L96-Rückstellungen!L96-Rückstellungen!Y96</f>
        <v/>
      </c>
      <c r="M96" s="40">
        <f>Verrechnung!M96-Selbstkosten!M96-Rückstellungen!M96-Rückstellungen!Z96</f>
        <v/>
      </c>
      <c r="N96" s="40">
        <f>Verrechnung!N96-Selbstkosten!N96-Rückstellungen!N96-Rückstellungen!AA96</f>
        <v/>
      </c>
      <c r="O96" s="40">
        <f>Verrechnung!O96-Selbstkosten!O96-Rückstellungen!O96-Rückstellungen!AB96</f>
        <v/>
      </c>
      <c r="P96" s="28">
        <f>SUM(D96:O96)</f>
        <v/>
      </c>
      <c r="Q96" s="80">
        <f>Verrechnung!P96</f>
        <v/>
      </c>
      <c r="R96" s="29">
        <f>IFERROR(P96/Q96,0)</f>
        <v/>
      </c>
      <c r="S96" s="81">
        <f>RANK(P96,$P$9:$P$108,0)</f>
        <v/>
      </c>
      <c r="T96" s="82">
        <f>IF(P96&lt;0,RANK(P96,$P$9:$P$108,1),"")</f>
        <v/>
      </c>
    </row>
    <row r="97">
      <c r="A97" s="68">
        <f>Stammdaten!A97</f>
        <v/>
      </c>
      <c r="B97" s="69">
        <f>Stammdaten!B97</f>
        <v/>
      </c>
      <c r="C97" s="69">
        <f>Stammdaten!C97</f>
        <v/>
      </c>
      <c r="D97" s="40">
        <f>Verrechnung!D97-Selbstkosten!D97-Rückstellungen!D97-Rückstellungen!Q97</f>
        <v/>
      </c>
      <c r="E97" s="40">
        <f>Verrechnung!E97-Selbstkosten!E97-Rückstellungen!E97-Rückstellungen!R97</f>
        <v/>
      </c>
      <c r="F97" s="40">
        <f>Verrechnung!F97-Selbstkosten!F97-Rückstellungen!F97-Rückstellungen!S97</f>
        <v/>
      </c>
      <c r="G97" s="40">
        <f>Verrechnung!G97-Selbstkosten!G97-Rückstellungen!G97-Rückstellungen!T97</f>
        <v/>
      </c>
      <c r="H97" s="40">
        <f>Verrechnung!H97-Selbstkosten!H97-Rückstellungen!H97-Rückstellungen!U97</f>
        <v/>
      </c>
      <c r="I97" s="40">
        <f>Verrechnung!I97-Selbstkosten!I97-Rückstellungen!I97-Rückstellungen!V97</f>
        <v/>
      </c>
      <c r="J97" s="40">
        <f>Verrechnung!J97-Selbstkosten!J97-Rückstellungen!J97-Rückstellungen!W97</f>
        <v/>
      </c>
      <c r="K97" s="40">
        <f>Verrechnung!K97-Selbstkosten!K97-Rückstellungen!K97-Rückstellungen!X97</f>
        <v/>
      </c>
      <c r="L97" s="40">
        <f>Verrechnung!L97-Selbstkosten!L97-Rückstellungen!L97-Rückstellungen!Y97</f>
        <v/>
      </c>
      <c r="M97" s="40">
        <f>Verrechnung!M97-Selbstkosten!M97-Rückstellungen!M97-Rückstellungen!Z97</f>
        <v/>
      </c>
      <c r="N97" s="40">
        <f>Verrechnung!N97-Selbstkosten!N97-Rückstellungen!N97-Rückstellungen!AA97</f>
        <v/>
      </c>
      <c r="O97" s="40">
        <f>Verrechnung!O97-Selbstkosten!O97-Rückstellungen!O97-Rückstellungen!AB97</f>
        <v/>
      </c>
      <c r="P97" s="28">
        <f>SUM(D97:O97)</f>
        <v/>
      </c>
      <c r="Q97" s="80">
        <f>Verrechnung!P97</f>
        <v/>
      </c>
      <c r="R97" s="29">
        <f>IFERROR(P97/Q97,0)</f>
        <v/>
      </c>
      <c r="S97" s="81">
        <f>RANK(P97,$P$9:$P$108,0)</f>
        <v/>
      </c>
      <c r="T97" s="82">
        <f>IF(P97&lt;0,RANK(P97,$P$9:$P$108,1),"")</f>
        <v/>
      </c>
    </row>
    <row r="98">
      <c r="A98" s="68">
        <f>Stammdaten!A98</f>
        <v/>
      </c>
      <c r="B98" s="69">
        <f>Stammdaten!B98</f>
        <v/>
      </c>
      <c r="C98" s="69">
        <f>Stammdaten!C98</f>
        <v/>
      </c>
      <c r="D98" s="40">
        <f>Verrechnung!D98-Selbstkosten!D98-Rückstellungen!D98-Rückstellungen!Q98</f>
        <v/>
      </c>
      <c r="E98" s="40">
        <f>Verrechnung!E98-Selbstkosten!E98-Rückstellungen!E98-Rückstellungen!R98</f>
        <v/>
      </c>
      <c r="F98" s="40">
        <f>Verrechnung!F98-Selbstkosten!F98-Rückstellungen!F98-Rückstellungen!S98</f>
        <v/>
      </c>
      <c r="G98" s="40">
        <f>Verrechnung!G98-Selbstkosten!G98-Rückstellungen!G98-Rückstellungen!T98</f>
        <v/>
      </c>
      <c r="H98" s="40">
        <f>Verrechnung!H98-Selbstkosten!H98-Rückstellungen!H98-Rückstellungen!U98</f>
        <v/>
      </c>
      <c r="I98" s="40">
        <f>Verrechnung!I98-Selbstkosten!I98-Rückstellungen!I98-Rückstellungen!V98</f>
        <v/>
      </c>
      <c r="J98" s="40">
        <f>Verrechnung!J98-Selbstkosten!J98-Rückstellungen!J98-Rückstellungen!W98</f>
        <v/>
      </c>
      <c r="K98" s="40">
        <f>Verrechnung!K98-Selbstkosten!K98-Rückstellungen!K98-Rückstellungen!X98</f>
        <v/>
      </c>
      <c r="L98" s="40">
        <f>Verrechnung!L98-Selbstkosten!L98-Rückstellungen!L98-Rückstellungen!Y98</f>
        <v/>
      </c>
      <c r="M98" s="40">
        <f>Verrechnung!M98-Selbstkosten!M98-Rückstellungen!M98-Rückstellungen!Z98</f>
        <v/>
      </c>
      <c r="N98" s="40">
        <f>Verrechnung!N98-Selbstkosten!N98-Rückstellungen!N98-Rückstellungen!AA98</f>
        <v/>
      </c>
      <c r="O98" s="40">
        <f>Verrechnung!O98-Selbstkosten!O98-Rückstellungen!O98-Rückstellungen!AB98</f>
        <v/>
      </c>
      <c r="P98" s="28">
        <f>SUM(D98:O98)</f>
        <v/>
      </c>
      <c r="Q98" s="80">
        <f>Verrechnung!P98</f>
        <v/>
      </c>
      <c r="R98" s="29">
        <f>IFERROR(P98/Q98,0)</f>
        <v/>
      </c>
      <c r="S98" s="81">
        <f>RANK(P98,$P$9:$P$108,0)</f>
        <v/>
      </c>
      <c r="T98" s="82">
        <f>IF(P98&lt;0,RANK(P98,$P$9:$P$108,1),"")</f>
        <v/>
      </c>
    </row>
    <row r="99">
      <c r="A99" s="71">
        <f>Stammdaten!A99</f>
        <v/>
      </c>
      <c r="B99" s="72">
        <f>Stammdaten!B99</f>
        <v/>
      </c>
      <c r="C99" s="72">
        <f>Stammdaten!C99</f>
        <v/>
      </c>
      <c r="D99" s="40">
        <f>Verrechnung!D99-Selbstkosten!D99-Rückstellungen!D99-Rückstellungen!Q99</f>
        <v/>
      </c>
      <c r="E99" s="40">
        <f>Verrechnung!E99-Selbstkosten!E99-Rückstellungen!E99-Rückstellungen!R99</f>
        <v/>
      </c>
      <c r="F99" s="40">
        <f>Verrechnung!F99-Selbstkosten!F99-Rückstellungen!F99-Rückstellungen!S99</f>
        <v/>
      </c>
      <c r="G99" s="40">
        <f>Verrechnung!G99-Selbstkosten!G99-Rückstellungen!G99-Rückstellungen!T99</f>
        <v/>
      </c>
      <c r="H99" s="40">
        <f>Verrechnung!H99-Selbstkosten!H99-Rückstellungen!H99-Rückstellungen!U99</f>
        <v/>
      </c>
      <c r="I99" s="40">
        <f>Verrechnung!I99-Selbstkosten!I99-Rückstellungen!I99-Rückstellungen!V99</f>
        <v/>
      </c>
      <c r="J99" s="40">
        <f>Verrechnung!J99-Selbstkosten!J99-Rückstellungen!J99-Rückstellungen!W99</f>
        <v/>
      </c>
      <c r="K99" s="40">
        <f>Verrechnung!K99-Selbstkosten!K99-Rückstellungen!K99-Rückstellungen!X99</f>
        <v/>
      </c>
      <c r="L99" s="40">
        <f>Verrechnung!L99-Selbstkosten!L99-Rückstellungen!L99-Rückstellungen!Y99</f>
        <v/>
      </c>
      <c r="M99" s="40">
        <f>Verrechnung!M99-Selbstkosten!M99-Rückstellungen!M99-Rückstellungen!Z99</f>
        <v/>
      </c>
      <c r="N99" s="40">
        <f>Verrechnung!N99-Selbstkosten!N99-Rückstellungen!N99-Rückstellungen!AA99</f>
        <v/>
      </c>
      <c r="O99" s="40">
        <f>Verrechnung!O99-Selbstkosten!O99-Rückstellungen!O99-Rückstellungen!AB99</f>
        <v/>
      </c>
      <c r="P99" s="28">
        <f>SUM(D99:O99)</f>
        <v/>
      </c>
      <c r="Q99" s="80">
        <f>Verrechnung!P99</f>
        <v/>
      </c>
      <c r="R99" s="29">
        <f>IFERROR(P99/Q99,0)</f>
        <v/>
      </c>
      <c r="S99" s="81">
        <f>RANK(P99,$P$9:$P$108,0)</f>
        <v/>
      </c>
      <c r="T99" s="82">
        <f>IF(P99&lt;0,RANK(P99,$P$9:$P$108,1),"")</f>
        <v/>
      </c>
    </row>
    <row r="100">
      <c r="A100" s="71">
        <f>Stammdaten!A100</f>
        <v/>
      </c>
      <c r="B100" s="72">
        <f>Stammdaten!B100</f>
        <v/>
      </c>
      <c r="C100" s="72">
        <f>Stammdaten!C100</f>
        <v/>
      </c>
      <c r="D100" s="40">
        <f>Verrechnung!D100-Selbstkosten!D100-Rückstellungen!D100-Rückstellungen!Q100</f>
        <v/>
      </c>
      <c r="E100" s="40">
        <f>Verrechnung!E100-Selbstkosten!E100-Rückstellungen!E100-Rückstellungen!R100</f>
        <v/>
      </c>
      <c r="F100" s="40">
        <f>Verrechnung!F100-Selbstkosten!F100-Rückstellungen!F100-Rückstellungen!S100</f>
        <v/>
      </c>
      <c r="G100" s="40">
        <f>Verrechnung!G100-Selbstkosten!G100-Rückstellungen!G100-Rückstellungen!T100</f>
        <v/>
      </c>
      <c r="H100" s="40">
        <f>Verrechnung!H100-Selbstkosten!H100-Rückstellungen!H100-Rückstellungen!U100</f>
        <v/>
      </c>
      <c r="I100" s="40">
        <f>Verrechnung!I100-Selbstkosten!I100-Rückstellungen!I100-Rückstellungen!V100</f>
        <v/>
      </c>
      <c r="J100" s="40">
        <f>Verrechnung!J100-Selbstkosten!J100-Rückstellungen!J100-Rückstellungen!W100</f>
        <v/>
      </c>
      <c r="K100" s="40">
        <f>Verrechnung!K100-Selbstkosten!K100-Rückstellungen!K100-Rückstellungen!X100</f>
        <v/>
      </c>
      <c r="L100" s="40">
        <f>Verrechnung!L100-Selbstkosten!L100-Rückstellungen!L100-Rückstellungen!Y100</f>
        <v/>
      </c>
      <c r="M100" s="40">
        <f>Verrechnung!M100-Selbstkosten!M100-Rückstellungen!M100-Rückstellungen!Z100</f>
        <v/>
      </c>
      <c r="N100" s="40">
        <f>Verrechnung!N100-Selbstkosten!N100-Rückstellungen!N100-Rückstellungen!AA100</f>
        <v/>
      </c>
      <c r="O100" s="40">
        <f>Verrechnung!O100-Selbstkosten!O100-Rückstellungen!O100-Rückstellungen!AB100</f>
        <v/>
      </c>
      <c r="P100" s="28">
        <f>SUM(D100:O100)</f>
        <v/>
      </c>
      <c r="Q100" s="80">
        <f>Verrechnung!P100</f>
        <v/>
      </c>
      <c r="R100" s="29">
        <f>IFERROR(P100/Q100,0)</f>
        <v/>
      </c>
      <c r="S100" s="81">
        <f>RANK(P100,$P$9:$P$108,0)</f>
        <v/>
      </c>
      <c r="T100" s="82">
        <f>IF(P100&lt;0,RANK(P100,$P$9:$P$108,1),"")</f>
        <v/>
      </c>
    </row>
    <row r="101">
      <c r="A101" s="71">
        <f>Stammdaten!A101</f>
        <v/>
      </c>
      <c r="B101" s="72">
        <f>Stammdaten!B101</f>
        <v/>
      </c>
      <c r="C101" s="72">
        <f>Stammdaten!C101</f>
        <v/>
      </c>
      <c r="D101" s="40">
        <f>Verrechnung!D101-Selbstkosten!D101-Rückstellungen!D101-Rückstellungen!Q101</f>
        <v/>
      </c>
      <c r="E101" s="40">
        <f>Verrechnung!E101-Selbstkosten!E101-Rückstellungen!E101-Rückstellungen!R101</f>
        <v/>
      </c>
      <c r="F101" s="40">
        <f>Verrechnung!F101-Selbstkosten!F101-Rückstellungen!F101-Rückstellungen!S101</f>
        <v/>
      </c>
      <c r="G101" s="40">
        <f>Verrechnung!G101-Selbstkosten!G101-Rückstellungen!G101-Rückstellungen!T101</f>
        <v/>
      </c>
      <c r="H101" s="40">
        <f>Verrechnung!H101-Selbstkosten!H101-Rückstellungen!H101-Rückstellungen!U101</f>
        <v/>
      </c>
      <c r="I101" s="40">
        <f>Verrechnung!I101-Selbstkosten!I101-Rückstellungen!I101-Rückstellungen!V101</f>
        <v/>
      </c>
      <c r="J101" s="40">
        <f>Verrechnung!J101-Selbstkosten!J101-Rückstellungen!J101-Rückstellungen!W101</f>
        <v/>
      </c>
      <c r="K101" s="40">
        <f>Verrechnung!K101-Selbstkosten!K101-Rückstellungen!K101-Rückstellungen!X101</f>
        <v/>
      </c>
      <c r="L101" s="40">
        <f>Verrechnung!L101-Selbstkosten!L101-Rückstellungen!L101-Rückstellungen!Y101</f>
        <v/>
      </c>
      <c r="M101" s="40">
        <f>Verrechnung!M101-Selbstkosten!M101-Rückstellungen!M101-Rückstellungen!Z101</f>
        <v/>
      </c>
      <c r="N101" s="40">
        <f>Verrechnung!N101-Selbstkosten!N101-Rückstellungen!N101-Rückstellungen!AA101</f>
        <v/>
      </c>
      <c r="O101" s="40">
        <f>Verrechnung!O101-Selbstkosten!O101-Rückstellungen!O101-Rückstellungen!AB101</f>
        <v/>
      </c>
      <c r="P101" s="28">
        <f>SUM(D101:O101)</f>
        <v/>
      </c>
      <c r="Q101" s="80">
        <f>Verrechnung!P101</f>
        <v/>
      </c>
      <c r="R101" s="29">
        <f>IFERROR(P101/Q101,0)</f>
        <v/>
      </c>
      <c r="S101" s="81">
        <f>RANK(P101,$P$9:$P$108,0)</f>
        <v/>
      </c>
      <c r="T101" s="82">
        <f>IF(P101&lt;0,RANK(P101,$P$9:$P$108,1),"")</f>
        <v/>
      </c>
    </row>
    <row r="102">
      <c r="A102" s="71">
        <f>Stammdaten!A102</f>
        <v/>
      </c>
      <c r="B102" s="72">
        <f>Stammdaten!B102</f>
        <v/>
      </c>
      <c r="C102" s="72">
        <f>Stammdaten!C102</f>
        <v/>
      </c>
      <c r="D102" s="40">
        <f>Verrechnung!D102-Selbstkosten!D102-Rückstellungen!D102-Rückstellungen!Q102</f>
        <v/>
      </c>
      <c r="E102" s="40">
        <f>Verrechnung!E102-Selbstkosten!E102-Rückstellungen!E102-Rückstellungen!R102</f>
        <v/>
      </c>
      <c r="F102" s="40">
        <f>Verrechnung!F102-Selbstkosten!F102-Rückstellungen!F102-Rückstellungen!S102</f>
        <v/>
      </c>
      <c r="G102" s="40">
        <f>Verrechnung!G102-Selbstkosten!G102-Rückstellungen!G102-Rückstellungen!T102</f>
        <v/>
      </c>
      <c r="H102" s="40">
        <f>Verrechnung!H102-Selbstkosten!H102-Rückstellungen!H102-Rückstellungen!U102</f>
        <v/>
      </c>
      <c r="I102" s="40">
        <f>Verrechnung!I102-Selbstkosten!I102-Rückstellungen!I102-Rückstellungen!V102</f>
        <v/>
      </c>
      <c r="J102" s="40">
        <f>Verrechnung!J102-Selbstkosten!J102-Rückstellungen!J102-Rückstellungen!W102</f>
        <v/>
      </c>
      <c r="K102" s="40">
        <f>Verrechnung!K102-Selbstkosten!K102-Rückstellungen!K102-Rückstellungen!X102</f>
        <v/>
      </c>
      <c r="L102" s="40">
        <f>Verrechnung!L102-Selbstkosten!L102-Rückstellungen!L102-Rückstellungen!Y102</f>
        <v/>
      </c>
      <c r="M102" s="40">
        <f>Verrechnung!M102-Selbstkosten!M102-Rückstellungen!M102-Rückstellungen!Z102</f>
        <v/>
      </c>
      <c r="N102" s="40">
        <f>Verrechnung!N102-Selbstkosten!N102-Rückstellungen!N102-Rückstellungen!AA102</f>
        <v/>
      </c>
      <c r="O102" s="40">
        <f>Verrechnung!O102-Selbstkosten!O102-Rückstellungen!O102-Rückstellungen!AB102</f>
        <v/>
      </c>
      <c r="P102" s="28">
        <f>SUM(D102:O102)</f>
        <v/>
      </c>
      <c r="Q102" s="80">
        <f>Verrechnung!P102</f>
        <v/>
      </c>
      <c r="R102" s="29">
        <f>IFERROR(P102/Q102,0)</f>
        <v/>
      </c>
      <c r="S102" s="81">
        <f>RANK(P102,$P$9:$P$108,0)</f>
        <v/>
      </c>
      <c r="T102" s="82">
        <f>IF(P102&lt;0,RANK(P102,$P$9:$P$108,1),"")</f>
        <v/>
      </c>
    </row>
    <row r="103">
      <c r="A103" s="71">
        <f>Stammdaten!A103</f>
        <v/>
      </c>
      <c r="B103" s="72">
        <f>Stammdaten!B103</f>
        <v/>
      </c>
      <c r="C103" s="72">
        <f>Stammdaten!C103</f>
        <v/>
      </c>
      <c r="D103" s="40">
        <f>Verrechnung!D103-Selbstkosten!D103-Rückstellungen!D103-Rückstellungen!Q103</f>
        <v/>
      </c>
      <c r="E103" s="40">
        <f>Verrechnung!E103-Selbstkosten!E103-Rückstellungen!E103-Rückstellungen!R103</f>
        <v/>
      </c>
      <c r="F103" s="40">
        <f>Verrechnung!F103-Selbstkosten!F103-Rückstellungen!F103-Rückstellungen!S103</f>
        <v/>
      </c>
      <c r="G103" s="40">
        <f>Verrechnung!G103-Selbstkosten!G103-Rückstellungen!G103-Rückstellungen!T103</f>
        <v/>
      </c>
      <c r="H103" s="40">
        <f>Verrechnung!H103-Selbstkosten!H103-Rückstellungen!H103-Rückstellungen!U103</f>
        <v/>
      </c>
      <c r="I103" s="40">
        <f>Verrechnung!I103-Selbstkosten!I103-Rückstellungen!I103-Rückstellungen!V103</f>
        <v/>
      </c>
      <c r="J103" s="40">
        <f>Verrechnung!J103-Selbstkosten!J103-Rückstellungen!J103-Rückstellungen!W103</f>
        <v/>
      </c>
      <c r="K103" s="40">
        <f>Verrechnung!K103-Selbstkosten!K103-Rückstellungen!K103-Rückstellungen!X103</f>
        <v/>
      </c>
      <c r="L103" s="40">
        <f>Verrechnung!L103-Selbstkosten!L103-Rückstellungen!L103-Rückstellungen!Y103</f>
        <v/>
      </c>
      <c r="M103" s="40">
        <f>Verrechnung!M103-Selbstkosten!M103-Rückstellungen!M103-Rückstellungen!Z103</f>
        <v/>
      </c>
      <c r="N103" s="40">
        <f>Verrechnung!N103-Selbstkosten!N103-Rückstellungen!N103-Rückstellungen!AA103</f>
        <v/>
      </c>
      <c r="O103" s="40">
        <f>Verrechnung!O103-Selbstkosten!O103-Rückstellungen!O103-Rückstellungen!AB103</f>
        <v/>
      </c>
      <c r="P103" s="28">
        <f>SUM(D103:O103)</f>
        <v/>
      </c>
      <c r="Q103" s="80">
        <f>Verrechnung!P103</f>
        <v/>
      </c>
      <c r="R103" s="29">
        <f>IFERROR(P103/Q103,0)</f>
        <v/>
      </c>
      <c r="S103" s="81">
        <f>RANK(P103,$P$9:$P$108,0)</f>
        <v/>
      </c>
      <c r="T103" s="82">
        <f>IF(P103&lt;0,RANK(P103,$P$9:$P$108,1),"")</f>
        <v/>
      </c>
    </row>
    <row r="104">
      <c r="A104" s="71">
        <f>Stammdaten!A104</f>
        <v/>
      </c>
      <c r="B104" s="72">
        <f>Stammdaten!B104</f>
        <v/>
      </c>
      <c r="C104" s="72">
        <f>Stammdaten!C104</f>
        <v/>
      </c>
      <c r="D104" s="40">
        <f>Verrechnung!D104-Selbstkosten!D104-Rückstellungen!D104-Rückstellungen!Q104</f>
        <v/>
      </c>
      <c r="E104" s="40">
        <f>Verrechnung!E104-Selbstkosten!E104-Rückstellungen!E104-Rückstellungen!R104</f>
        <v/>
      </c>
      <c r="F104" s="40">
        <f>Verrechnung!F104-Selbstkosten!F104-Rückstellungen!F104-Rückstellungen!S104</f>
        <v/>
      </c>
      <c r="G104" s="40">
        <f>Verrechnung!G104-Selbstkosten!G104-Rückstellungen!G104-Rückstellungen!T104</f>
        <v/>
      </c>
      <c r="H104" s="40">
        <f>Verrechnung!H104-Selbstkosten!H104-Rückstellungen!H104-Rückstellungen!U104</f>
        <v/>
      </c>
      <c r="I104" s="40">
        <f>Verrechnung!I104-Selbstkosten!I104-Rückstellungen!I104-Rückstellungen!V104</f>
        <v/>
      </c>
      <c r="J104" s="40">
        <f>Verrechnung!J104-Selbstkosten!J104-Rückstellungen!J104-Rückstellungen!W104</f>
        <v/>
      </c>
      <c r="K104" s="40">
        <f>Verrechnung!K104-Selbstkosten!K104-Rückstellungen!K104-Rückstellungen!X104</f>
        <v/>
      </c>
      <c r="L104" s="40">
        <f>Verrechnung!L104-Selbstkosten!L104-Rückstellungen!L104-Rückstellungen!Y104</f>
        <v/>
      </c>
      <c r="M104" s="40">
        <f>Verrechnung!M104-Selbstkosten!M104-Rückstellungen!M104-Rückstellungen!Z104</f>
        <v/>
      </c>
      <c r="N104" s="40">
        <f>Verrechnung!N104-Selbstkosten!N104-Rückstellungen!N104-Rückstellungen!AA104</f>
        <v/>
      </c>
      <c r="O104" s="40">
        <f>Verrechnung!O104-Selbstkosten!O104-Rückstellungen!O104-Rückstellungen!AB104</f>
        <v/>
      </c>
      <c r="P104" s="28">
        <f>SUM(D104:O104)</f>
        <v/>
      </c>
      <c r="Q104" s="80">
        <f>Verrechnung!P104</f>
        <v/>
      </c>
      <c r="R104" s="29">
        <f>IFERROR(P104/Q104,0)</f>
        <v/>
      </c>
      <c r="S104" s="81">
        <f>RANK(P104,$P$9:$P$108,0)</f>
        <v/>
      </c>
      <c r="T104" s="82">
        <f>IF(P104&lt;0,RANK(P104,$P$9:$P$108,1),"")</f>
        <v/>
      </c>
    </row>
    <row r="105">
      <c r="A105" s="71">
        <f>Stammdaten!A105</f>
        <v/>
      </c>
      <c r="B105" s="72">
        <f>Stammdaten!B105</f>
        <v/>
      </c>
      <c r="C105" s="72">
        <f>Stammdaten!C105</f>
        <v/>
      </c>
      <c r="D105" s="40">
        <f>Verrechnung!D105-Selbstkosten!D105-Rückstellungen!D105-Rückstellungen!Q105</f>
        <v/>
      </c>
      <c r="E105" s="40">
        <f>Verrechnung!E105-Selbstkosten!E105-Rückstellungen!E105-Rückstellungen!R105</f>
        <v/>
      </c>
      <c r="F105" s="40">
        <f>Verrechnung!F105-Selbstkosten!F105-Rückstellungen!F105-Rückstellungen!S105</f>
        <v/>
      </c>
      <c r="G105" s="40">
        <f>Verrechnung!G105-Selbstkosten!G105-Rückstellungen!G105-Rückstellungen!T105</f>
        <v/>
      </c>
      <c r="H105" s="40">
        <f>Verrechnung!H105-Selbstkosten!H105-Rückstellungen!H105-Rückstellungen!U105</f>
        <v/>
      </c>
      <c r="I105" s="40">
        <f>Verrechnung!I105-Selbstkosten!I105-Rückstellungen!I105-Rückstellungen!V105</f>
        <v/>
      </c>
      <c r="J105" s="40">
        <f>Verrechnung!J105-Selbstkosten!J105-Rückstellungen!J105-Rückstellungen!W105</f>
        <v/>
      </c>
      <c r="K105" s="40">
        <f>Verrechnung!K105-Selbstkosten!K105-Rückstellungen!K105-Rückstellungen!X105</f>
        <v/>
      </c>
      <c r="L105" s="40">
        <f>Verrechnung!L105-Selbstkosten!L105-Rückstellungen!L105-Rückstellungen!Y105</f>
        <v/>
      </c>
      <c r="M105" s="40">
        <f>Verrechnung!M105-Selbstkosten!M105-Rückstellungen!M105-Rückstellungen!Z105</f>
        <v/>
      </c>
      <c r="N105" s="40">
        <f>Verrechnung!N105-Selbstkosten!N105-Rückstellungen!N105-Rückstellungen!AA105</f>
        <v/>
      </c>
      <c r="O105" s="40">
        <f>Verrechnung!O105-Selbstkosten!O105-Rückstellungen!O105-Rückstellungen!AB105</f>
        <v/>
      </c>
      <c r="P105" s="28">
        <f>SUM(D105:O105)</f>
        <v/>
      </c>
      <c r="Q105" s="80">
        <f>Verrechnung!P105</f>
        <v/>
      </c>
      <c r="R105" s="29">
        <f>IFERROR(P105/Q105,0)</f>
        <v/>
      </c>
      <c r="S105" s="81">
        <f>RANK(P105,$P$9:$P$108,0)</f>
        <v/>
      </c>
      <c r="T105" s="82">
        <f>IF(P105&lt;0,RANK(P105,$P$9:$P$108,1),"")</f>
        <v/>
      </c>
    </row>
    <row r="106">
      <c r="A106" s="71">
        <f>Stammdaten!A106</f>
        <v/>
      </c>
      <c r="B106" s="72">
        <f>Stammdaten!B106</f>
        <v/>
      </c>
      <c r="C106" s="72">
        <f>Stammdaten!C106</f>
        <v/>
      </c>
      <c r="D106" s="40">
        <f>Verrechnung!D106-Selbstkosten!D106-Rückstellungen!D106-Rückstellungen!Q106</f>
        <v/>
      </c>
      <c r="E106" s="40">
        <f>Verrechnung!E106-Selbstkosten!E106-Rückstellungen!E106-Rückstellungen!R106</f>
        <v/>
      </c>
      <c r="F106" s="40">
        <f>Verrechnung!F106-Selbstkosten!F106-Rückstellungen!F106-Rückstellungen!S106</f>
        <v/>
      </c>
      <c r="G106" s="40">
        <f>Verrechnung!G106-Selbstkosten!G106-Rückstellungen!G106-Rückstellungen!T106</f>
        <v/>
      </c>
      <c r="H106" s="40">
        <f>Verrechnung!H106-Selbstkosten!H106-Rückstellungen!H106-Rückstellungen!U106</f>
        <v/>
      </c>
      <c r="I106" s="40">
        <f>Verrechnung!I106-Selbstkosten!I106-Rückstellungen!I106-Rückstellungen!V106</f>
        <v/>
      </c>
      <c r="J106" s="40">
        <f>Verrechnung!J106-Selbstkosten!J106-Rückstellungen!J106-Rückstellungen!W106</f>
        <v/>
      </c>
      <c r="K106" s="40">
        <f>Verrechnung!K106-Selbstkosten!K106-Rückstellungen!K106-Rückstellungen!X106</f>
        <v/>
      </c>
      <c r="L106" s="40">
        <f>Verrechnung!L106-Selbstkosten!L106-Rückstellungen!L106-Rückstellungen!Y106</f>
        <v/>
      </c>
      <c r="M106" s="40">
        <f>Verrechnung!M106-Selbstkosten!M106-Rückstellungen!M106-Rückstellungen!Z106</f>
        <v/>
      </c>
      <c r="N106" s="40">
        <f>Verrechnung!N106-Selbstkosten!N106-Rückstellungen!N106-Rückstellungen!AA106</f>
        <v/>
      </c>
      <c r="O106" s="40">
        <f>Verrechnung!O106-Selbstkosten!O106-Rückstellungen!O106-Rückstellungen!AB106</f>
        <v/>
      </c>
      <c r="P106" s="28">
        <f>SUM(D106:O106)</f>
        <v/>
      </c>
      <c r="Q106" s="80">
        <f>Verrechnung!P106</f>
        <v/>
      </c>
      <c r="R106" s="29">
        <f>IFERROR(P106/Q106,0)</f>
        <v/>
      </c>
      <c r="S106" s="81">
        <f>RANK(P106,$P$9:$P$108,0)</f>
        <v/>
      </c>
      <c r="T106" s="82">
        <f>IF(P106&lt;0,RANK(P106,$P$9:$P$108,1),"")</f>
        <v/>
      </c>
    </row>
    <row r="107">
      <c r="A107" s="71">
        <f>Stammdaten!A107</f>
        <v/>
      </c>
      <c r="B107" s="72">
        <f>Stammdaten!B107</f>
        <v/>
      </c>
      <c r="C107" s="72">
        <f>Stammdaten!C107</f>
        <v/>
      </c>
      <c r="D107" s="40">
        <f>Verrechnung!D107-Selbstkosten!D107-Rückstellungen!D107-Rückstellungen!Q107</f>
        <v/>
      </c>
      <c r="E107" s="40">
        <f>Verrechnung!E107-Selbstkosten!E107-Rückstellungen!E107-Rückstellungen!R107</f>
        <v/>
      </c>
      <c r="F107" s="40">
        <f>Verrechnung!F107-Selbstkosten!F107-Rückstellungen!F107-Rückstellungen!S107</f>
        <v/>
      </c>
      <c r="G107" s="40">
        <f>Verrechnung!G107-Selbstkosten!G107-Rückstellungen!G107-Rückstellungen!T107</f>
        <v/>
      </c>
      <c r="H107" s="40">
        <f>Verrechnung!H107-Selbstkosten!H107-Rückstellungen!H107-Rückstellungen!U107</f>
        <v/>
      </c>
      <c r="I107" s="40">
        <f>Verrechnung!I107-Selbstkosten!I107-Rückstellungen!I107-Rückstellungen!V107</f>
        <v/>
      </c>
      <c r="J107" s="40">
        <f>Verrechnung!J107-Selbstkosten!J107-Rückstellungen!J107-Rückstellungen!W107</f>
        <v/>
      </c>
      <c r="K107" s="40">
        <f>Verrechnung!K107-Selbstkosten!K107-Rückstellungen!K107-Rückstellungen!X107</f>
        <v/>
      </c>
      <c r="L107" s="40">
        <f>Verrechnung!L107-Selbstkosten!L107-Rückstellungen!L107-Rückstellungen!Y107</f>
        <v/>
      </c>
      <c r="M107" s="40">
        <f>Verrechnung!M107-Selbstkosten!M107-Rückstellungen!M107-Rückstellungen!Z107</f>
        <v/>
      </c>
      <c r="N107" s="40">
        <f>Verrechnung!N107-Selbstkosten!N107-Rückstellungen!N107-Rückstellungen!AA107</f>
        <v/>
      </c>
      <c r="O107" s="40">
        <f>Verrechnung!O107-Selbstkosten!O107-Rückstellungen!O107-Rückstellungen!AB107</f>
        <v/>
      </c>
      <c r="P107" s="28">
        <f>SUM(D107:O107)</f>
        <v/>
      </c>
      <c r="Q107" s="80">
        <f>Verrechnung!P107</f>
        <v/>
      </c>
      <c r="R107" s="29">
        <f>IFERROR(P107/Q107,0)</f>
        <v/>
      </c>
      <c r="S107" s="81">
        <f>RANK(P107,$P$9:$P$108,0)</f>
        <v/>
      </c>
      <c r="T107" s="82">
        <f>IF(P107&lt;0,RANK(P107,$P$9:$P$108,1),"")</f>
        <v/>
      </c>
    </row>
    <row r="108">
      <c r="A108" s="71">
        <f>Stammdaten!A108</f>
        <v/>
      </c>
      <c r="B108" s="72">
        <f>Stammdaten!B108</f>
        <v/>
      </c>
      <c r="C108" s="72">
        <f>Stammdaten!C108</f>
        <v/>
      </c>
      <c r="D108" s="40">
        <f>Verrechnung!D108-Selbstkosten!D108-Rückstellungen!D108-Rückstellungen!Q108</f>
        <v/>
      </c>
      <c r="E108" s="40">
        <f>Verrechnung!E108-Selbstkosten!E108-Rückstellungen!E108-Rückstellungen!R108</f>
        <v/>
      </c>
      <c r="F108" s="40">
        <f>Verrechnung!F108-Selbstkosten!F108-Rückstellungen!F108-Rückstellungen!S108</f>
        <v/>
      </c>
      <c r="G108" s="40">
        <f>Verrechnung!G108-Selbstkosten!G108-Rückstellungen!G108-Rückstellungen!T108</f>
        <v/>
      </c>
      <c r="H108" s="40">
        <f>Verrechnung!H108-Selbstkosten!H108-Rückstellungen!H108-Rückstellungen!U108</f>
        <v/>
      </c>
      <c r="I108" s="40">
        <f>Verrechnung!I108-Selbstkosten!I108-Rückstellungen!I108-Rückstellungen!V108</f>
        <v/>
      </c>
      <c r="J108" s="40">
        <f>Verrechnung!J108-Selbstkosten!J108-Rückstellungen!J108-Rückstellungen!W108</f>
        <v/>
      </c>
      <c r="K108" s="40">
        <f>Verrechnung!K108-Selbstkosten!K108-Rückstellungen!K108-Rückstellungen!X108</f>
        <v/>
      </c>
      <c r="L108" s="40">
        <f>Verrechnung!L108-Selbstkosten!L108-Rückstellungen!L108-Rückstellungen!Y108</f>
        <v/>
      </c>
      <c r="M108" s="40">
        <f>Verrechnung!M108-Selbstkosten!M108-Rückstellungen!M108-Rückstellungen!Z108</f>
        <v/>
      </c>
      <c r="N108" s="40">
        <f>Verrechnung!N108-Selbstkosten!N108-Rückstellungen!N108-Rückstellungen!AA108</f>
        <v/>
      </c>
      <c r="O108" s="40">
        <f>Verrechnung!O108-Selbstkosten!O108-Rückstellungen!O108-Rückstellungen!AB108</f>
        <v/>
      </c>
      <c r="P108" s="28">
        <f>SUM(D108:O108)</f>
        <v/>
      </c>
      <c r="Q108" s="80">
        <f>Verrechnung!P108</f>
        <v/>
      </c>
      <c r="R108" s="29">
        <f>IFERROR(P108/Q108,0)</f>
        <v/>
      </c>
      <c r="S108" s="81">
        <f>RANK(P108,$P$9:$P$108,0)</f>
        <v/>
      </c>
      <c r="T108" s="82">
        <f>IF(P108&lt;0,RANK(P108,$P$9:$P$108,1),"")</f>
        <v/>
      </c>
    </row>
  </sheetData>
  <mergeCells count="2">
    <mergeCell ref="A1:T1"/>
    <mergeCell ref="A2:T2"/>
  </mergeCells>
  <conditionalFormatting sqref="P9:P108">
    <cfRule type="cellIs" priority="1" operator="lessThan" dxfId="1">
      <formula>0</formula>
    </cfRule>
    <cfRule type="colorScale" priority="2">
      <colorScale>
        <cfvo type="min"/>
        <cfvo type="percentile" val="50"/>
        <cfvo type="max"/>
        <color rgb="00F2B6A5"/>
        <color rgb="00FBEBC2"/>
        <color rgb="00A9D3B4"/>
      </colorScale>
    </cfRule>
  </conditionalFormatting>
  <conditionalFormatting sqref="D9:O108">
    <cfRule type="cellIs" priority="3" operator="lessThan" dxfId="2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D6555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1" customWidth="1" min="6" max="6"/>
    <col width="9" customWidth="1" min="7" max="7"/>
  </cols>
  <sheetData>
    <row r="1" ht="26" customHeight="1">
      <c r="A1" s="1" t="inlineStr">
        <is>
          <t>HILFSBLATT — Kunden-Auswertung</t>
        </is>
      </c>
      <c r="B1" s="2" t="n"/>
      <c r="C1" s="2" t="n"/>
      <c r="D1" s="2" t="n"/>
      <c r="E1" s="2" t="n"/>
      <c r="F1" s="2" t="n"/>
      <c r="G1" s="2" t="n"/>
    </row>
    <row r="2" ht="15" customHeight="1">
      <c r="A2" s="3" t="inlineStr">
        <is>
          <t>Automatisch berechnet aus den 10 Kunden-Blöcken je 10 Mitarbeiter · bitte nicht manuell bearbeiten</t>
        </is>
      </c>
      <c r="B2" s="4" t="n"/>
      <c r="C2" s="4" t="n"/>
      <c r="D2" s="4" t="n"/>
      <c r="E2" s="4" t="n"/>
      <c r="F2" s="4" t="n"/>
      <c r="G2" s="4" t="n"/>
    </row>
    <row r="3" ht="30" customHeight="1">
      <c r="A3" s="49" t="inlineStr">
        <is>
          <t>Kunde</t>
        </is>
      </c>
      <c r="B3" s="49" t="inlineStr">
        <is>
          <t>Verrechnung
Jahr</t>
        </is>
      </c>
      <c r="C3" s="49" t="inlineStr">
        <is>
          <t>Selbstkosten
Jahr</t>
        </is>
      </c>
      <c r="D3" s="49" t="inlineStr">
        <is>
          <t>Rückstellungen
Jahr</t>
        </is>
      </c>
      <c r="E3" s="49" t="inlineStr">
        <is>
          <t>DB1
Jahr</t>
        </is>
      </c>
      <c r="F3" s="49" t="inlineStr">
        <is>
          <t>DB1-Marge
%</t>
        </is>
      </c>
      <c r="G3" s="49" t="inlineStr">
        <is>
          <t>Rang</t>
        </is>
      </c>
    </row>
    <row r="4">
      <c r="A4" s="69">
        <f>Stammdaten!B9</f>
        <v/>
      </c>
      <c r="B4" s="40">
        <f>SUMIF(Verrechnung!$B$9:$B$108,$A4,Verrechnung!$P$9:$P$108)</f>
        <v/>
      </c>
      <c r="C4" s="40">
        <f>SUMIF(Selbstkosten!$B$9:$B$108,$A4,Selbstkosten!$P$9:$P$108)</f>
        <v/>
      </c>
      <c r="D4" s="40">
        <f>SUMIF(Rückstellungen!$B$9:$B$108,$A4,Rückstellungen!$AD$9:$AD$108)</f>
        <v/>
      </c>
      <c r="E4" s="28">
        <f>SUMIF(DB1!$B$9:$B$108,$A4,DB1!$P$9:$P$108)</f>
        <v/>
      </c>
      <c r="F4" s="29">
        <f>IFERROR(E4/B4,0)</f>
        <v/>
      </c>
      <c r="G4" s="81">
        <f>RANK(E4,$E$4:$E$13,0)</f>
        <v/>
      </c>
    </row>
    <row r="5">
      <c r="A5" s="69">
        <f>Stammdaten!B19</f>
        <v/>
      </c>
      <c r="B5" s="40">
        <f>SUMIF(Verrechnung!$B$9:$B$108,$A5,Verrechnung!$P$9:$P$108)</f>
        <v/>
      </c>
      <c r="C5" s="40">
        <f>SUMIF(Selbstkosten!$B$9:$B$108,$A5,Selbstkosten!$P$9:$P$108)</f>
        <v/>
      </c>
      <c r="D5" s="40">
        <f>SUMIF(Rückstellungen!$B$9:$B$108,$A5,Rückstellungen!$AD$9:$AD$108)</f>
        <v/>
      </c>
      <c r="E5" s="28">
        <f>SUMIF(DB1!$B$9:$B$108,$A5,DB1!$P$9:$P$108)</f>
        <v/>
      </c>
      <c r="F5" s="29">
        <f>IFERROR(E5/B5,0)</f>
        <v/>
      </c>
      <c r="G5" s="81">
        <f>RANK(E5,$E$4:$E$13,0)</f>
        <v/>
      </c>
    </row>
    <row r="6">
      <c r="A6" s="69">
        <f>Stammdaten!B29</f>
        <v/>
      </c>
      <c r="B6" s="40">
        <f>SUMIF(Verrechnung!$B$9:$B$108,$A6,Verrechnung!$P$9:$P$108)</f>
        <v/>
      </c>
      <c r="C6" s="40">
        <f>SUMIF(Selbstkosten!$B$9:$B$108,$A6,Selbstkosten!$P$9:$P$108)</f>
        <v/>
      </c>
      <c r="D6" s="40">
        <f>SUMIF(Rückstellungen!$B$9:$B$108,$A6,Rückstellungen!$AD$9:$AD$108)</f>
        <v/>
      </c>
      <c r="E6" s="28">
        <f>SUMIF(DB1!$B$9:$B$108,$A6,DB1!$P$9:$P$108)</f>
        <v/>
      </c>
      <c r="F6" s="29">
        <f>IFERROR(E6/B6,0)</f>
        <v/>
      </c>
      <c r="G6" s="81">
        <f>RANK(E6,$E$4:$E$13,0)</f>
        <v/>
      </c>
    </row>
    <row r="7">
      <c r="A7" s="69">
        <f>Stammdaten!B39</f>
        <v/>
      </c>
      <c r="B7" s="40">
        <f>SUMIF(Verrechnung!$B$9:$B$108,$A7,Verrechnung!$P$9:$P$108)</f>
        <v/>
      </c>
      <c r="C7" s="40">
        <f>SUMIF(Selbstkosten!$B$9:$B$108,$A7,Selbstkosten!$P$9:$P$108)</f>
        <v/>
      </c>
      <c r="D7" s="40">
        <f>SUMIF(Rückstellungen!$B$9:$B$108,$A7,Rückstellungen!$AD$9:$AD$108)</f>
        <v/>
      </c>
      <c r="E7" s="28">
        <f>SUMIF(DB1!$B$9:$B$108,$A7,DB1!$P$9:$P$108)</f>
        <v/>
      </c>
      <c r="F7" s="29">
        <f>IFERROR(E7/B7,0)</f>
        <v/>
      </c>
      <c r="G7" s="81">
        <f>RANK(E7,$E$4:$E$13,0)</f>
        <v/>
      </c>
    </row>
    <row r="8">
      <c r="A8" s="69">
        <f>Stammdaten!B49</f>
        <v/>
      </c>
      <c r="B8" s="40">
        <f>SUMIF(Verrechnung!$B$9:$B$108,$A8,Verrechnung!$P$9:$P$108)</f>
        <v/>
      </c>
      <c r="C8" s="40">
        <f>SUMIF(Selbstkosten!$B$9:$B$108,$A8,Selbstkosten!$P$9:$P$108)</f>
        <v/>
      </c>
      <c r="D8" s="40">
        <f>SUMIF(Rückstellungen!$B$9:$B$108,$A8,Rückstellungen!$AD$9:$AD$108)</f>
        <v/>
      </c>
      <c r="E8" s="28">
        <f>SUMIF(DB1!$B$9:$B$108,$A8,DB1!$P$9:$P$108)</f>
        <v/>
      </c>
      <c r="F8" s="29">
        <f>IFERROR(E8/B8,0)</f>
        <v/>
      </c>
      <c r="G8" s="81">
        <f>RANK(E8,$E$4:$E$13,0)</f>
        <v/>
      </c>
    </row>
    <row r="9">
      <c r="A9" s="69">
        <f>Stammdaten!B59</f>
        <v/>
      </c>
      <c r="B9" s="40">
        <f>SUMIF(Verrechnung!$B$9:$B$108,$A9,Verrechnung!$P$9:$P$108)</f>
        <v/>
      </c>
      <c r="C9" s="40">
        <f>SUMIF(Selbstkosten!$B$9:$B$108,$A9,Selbstkosten!$P$9:$P$108)</f>
        <v/>
      </c>
      <c r="D9" s="40">
        <f>SUMIF(Rückstellungen!$B$9:$B$108,$A9,Rückstellungen!$AD$9:$AD$108)</f>
        <v/>
      </c>
      <c r="E9" s="28">
        <f>SUMIF(DB1!$B$9:$B$108,$A9,DB1!$P$9:$P$108)</f>
        <v/>
      </c>
      <c r="F9" s="29">
        <f>IFERROR(E9/B9,0)</f>
        <v/>
      </c>
      <c r="G9" s="81">
        <f>RANK(E9,$E$4:$E$13,0)</f>
        <v/>
      </c>
    </row>
    <row r="10">
      <c r="A10" s="69">
        <f>Stammdaten!B69</f>
        <v/>
      </c>
      <c r="B10" s="40">
        <f>SUMIF(Verrechnung!$B$9:$B$108,$A10,Verrechnung!$P$9:$P$108)</f>
        <v/>
      </c>
      <c r="C10" s="40">
        <f>SUMIF(Selbstkosten!$B$9:$B$108,$A10,Selbstkosten!$P$9:$P$108)</f>
        <v/>
      </c>
      <c r="D10" s="40">
        <f>SUMIF(Rückstellungen!$B$9:$B$108,$A10,Rückstellungen!$AD$9:$AD$108)</f>
        <v/>
      </c>
      <c r="E10" s="28">
        <f>SUMIF(DB1!$B$9:$B$108,$A10,DB1!$P$9:$P$108)</f>
        <v/>
      </c>
      <c r="F10" s="29">
        <f>IFERROR(E10/B10,0)</f>
        <v/>
      </c>
      <c r="G10" s="81">
        <f>RANK(E10,$E$4:$E$13,0)</f>
        <v/>
      </c>
    </row>
    <row r="11">
      <c r="A11" s="69">
        <f>Stammdaten!B79</f>
        <v/>
      </c>
      <c r="B11" s="40">
        <f>SUMIF(Verrechnung!$B$9:$B$108,$A11,Verrechnung!$P$9:$P$108)</f>
        <v/>
      </c>
      <c r="C11" s="40">
        <f>SUMIF(Selbstkosten!$B$9:$B$108,$A11,Selbstkosten!$P$9:$P$108)</f>
        <v/>
      </c>
      <c r="D11" s="40">
        <f>SUMIF(Rückstellungen!$B$9:$B$108,$A11,Rückstellungen!$AD$9:$AD$108)</f>
        <v/>
      </c>
      <c r="E11" s="28">
        <f>SUMIF(DB1!$B$9:$B$108,$A11,DB1!$P$9:$P$108)</f>
        <v/>
      </c>
      <c r="F11" s="29">
        <f>IFERROR(E11/B11,0)</f>
        <v/>
      </c>
      <c r="G11" s="81">
        <f>RANK(E11,$E$4:$E$13,0)</f>
        <v/>
      </c>
    </row>
    <row r="12">
      <c r="A12" s="69">
        <f>Stammdaten!B89</f>
        <v/>
      </c>
      <c r="B12" s="40">
        <f>SUMIF(Verrechnung!$B$9:$B$108,$A12,Verrechnung!$P$9:$P$108)</f>
        <v/>
      </c>
      <c r="C12" s="40">
        <f>SUMIF(Selbstkosten!$B$9:$B$108,$A12,Selbstkosten!$P$9:$P$108)</f>
        <v/>
      </c>
      <c r="D12" s="40">
        <f>SUMIF(Rückstellungen!$B$9:$B$108,$A12,Rückstellungen!$AD$9:$AD$108)</f>
        <v/>
      </c>
      <c r="E12" s="28">
        <f>SUMIF(DB1!$B$9:$B$108,$A12,DB1!$P$9:$P$108)</f>
        <v/>
      </c>
      <c r="F12" s="29">
        <f>IFERROR(E12/B12,0)</f>
        <v/>
      </c>
      <c r="G12" s="81">
        <f>RANK(E12,$E$4:$E$13,0)</f>
        <v/>
      </c>
    </row>
    <row r="13">
      <c r="A13" s="69">
        <f>Stammdaten!B99</f>
        <v/>
      </c>
      <c r="B13" s="40">
        <f>SUMIF(Verrechnung!$B$9:$B$108,$A13,Verrechnung!$P$9:$P$108)</f>
        <v/>
      </c>
      <c r="C13" s="40">
        <f>SUMIF(Selbstkosten!$B$9:$B$108,$A13,Selbstkosten!$P$9:$P$108)</f>
        <v/>
      </c>
      <c r="D13" s="40">
        <f>SUMIF(Rückstellungen!$B$9:$B$108,$A13,Rückstellungen!$AD$9:$AD$108)</f>
        <v/>
      </c>
      <c r="E13" s="28">
        <f>SUMIF(DB1!$B$9:$B$108,$A13,DB1!$P$9:$P$108)</f>
        <v/>
      </c>
      <c r="F13" s="29">
        <f>IFERROR(E13/B13,0)</f>
        <v/>
      </c>
      <c r="G13" s="81">
        <f>RANK(E13,$E$4:$E$13,0)</f>
        <v/>
      </c>
    </row>
    <row r="16">
      <c r="A16" s="45" t="inlineStr">
        <is>
          <t>Monatsentwicklung — Gesamt aller Mitarbeiter</t>
        </is>
      </c>
    </row>
    <row r="17" ht="30" customHeight="1">
      <c r="A17" s="49" t="inlineStr">
        <is>
          <t>Monat</t>
        </is>
      </c>
      <c r="B17" s="49" t="inlineStr">
        <is>
          <t>Verrechnung</t>
        </is>
      </c>
      <c r="C17" s="49" t="inlineStr">
        <is>
          <t>Selbstkosten</t>
        </is>
      </c>
      <c r="D17" s="49" t="inlineStr">
        <is>
          <t>Rückstellungen</t>
        </is>
      </c>
      <c r="E17" s="49" t="inlineStr">
        <is>
          <t>DB1</t>
        </is>
      </c>
      <c r="F17" s="49" t="inlineStr">
        <is>
          <t>DB1-Marge %</t>
        </is>
      </c>
    </row>
    <row r="18">
      <c r="A18" s="83" t="inlineStr">
        <is>
          <t>Jan</t>
        </is>
      </c>
      <c r="B18" s="40">
        <f>SUM(Verrechnung!D$9:D$108)</f>
        <v/>
      </c>
      <c r="C18" s="40">
        <f>SUM(Selbstkosten!D$9:D$108)</f>
        <v/>
      </c>
      <c r="D18" s="40">
        <f>SUM(Rückstellungen!D$9:D$108)+SUM(Rückstellungen!Q$9:Q$108)</f>
        <v/>
      </c>
      <c r="E18" s="28">
        <f>B18-C18-D18</f>
        <v/>
      </c>
      <c r="F18" s="29">
        <f>IFERROR(E18/B18,0)</f>
        <v/>
      </c>
    </row>
    <row r="19">
      <c r="A19" s="84" t="inlineStr">
        <is>
          <t>Feb</t>
        </is>
      </c>
      <c r="B19" s="43">
        <f>SUM(Verrechnung!E$9:E$108)</f>
        <v/>
      </c>
      <c r="C19" s="43">
        <f>SUM(Selbstkosten!E$9:E$108)</f>
        <v/>
      </c>
      <c r="D19" s="43">
        <f>SUM(Rückstellungen!E$9:E$108)+SUM(Rückstellungen!R$9:R$108)</f>
        <v/>
      </c>
      <c r="E19" s="34">
        <f>B19-C19-D19</f>
        <v/>
      </c>
      <c r="F19" s="35">
        <f>IFERROR(E19/B19,0)</f>
        <v/>
      </c>
    </row>
    <row r="20">
      <c r="A20" s="83" t="inlineStr">
        <is>
          <t>Mär</t>
        </is>
      </c>
      <c r="B20" s="40">
        <f>SUM(Verrechnung!F$9:F$108)</f>
        <v/>
      </c>
      <c r="C20" s="40">
        <f>SUM(Selbstkosten!F$9:F$108)</f>
        <v/>
      </c>
      <c r="D20" s="40">
        <f>SUM(Rückstellungen!F$9:F$108)+SUM(Rückstellungen!S$9:S$108)</f>
        <v/>
      </c>
      <c r="E20" s="28">
        <f>B20-C20-D20</f>
        <v/>
      </c>
      <c r="F20" s="29">
        <f>IFERROR(E20/B20,0)</f>
        <v/>
      </c>
    </row>
    <row r="21">
      <c r="A21" s="84" t="inlineStr">
        <is>
          <t>Apr</t>
        </is>
      </c>
      <c r="B21" s="43">
        <f>SUM(Verrechnung!G$9:G$108)</f>
        <v/>
      </c>
      <c r="C21" s="43">
        <f>SUM(Selbstkosten!G$9:G$108)</f>
        <v/>
      </c>
      <c r="D21" s="43">
        <f>SUM(Rückstellungen!G$9:G$108)+SUM(Rückstellungen!T$9:T$108)</f>
        <v/>
      </c>
      <c r="E21" s="34">
        <f>B21-C21-D21</f>
        <v/>
      </c>
      <c r="F21" s="35">
        <f>IFERROR(E21/B21,0)</f>
        <v/>
      </c>
    </row>
    <row r="22">
      <c r="A22" s="83" t="inlineStr">
        <is>
          <t>Mai</t>
        </is>
      </c>
      <c r="B22" s="40">
        <f>SUM(Verrechnung!H$9:H$108)</f>
        <v/>
      </c>
      <c r="C22" s="40">
        <f>SUM(Selbstkosten!H$9:H$108)</f>
        <v/>
      </c>
      <c r="D22" s="40">
        <f>SUM(Rückstellungen!H$9:H$108)+SUM(Rückstellungen!U$9:U$108)</f>
        <v/>
      </c>
      <c r="E22" s="28">
        <f>B22-C22-D22</f>
        <v/>
      </c>
      <c r="F22" s="29">
        <f>IFERROR(E22/B22,0)</f>
        <v/>
      </c>
    </row>
    <row r="23">
      <c r="A23" s="84" t="inlineStr">
        <is>
          <t>Jun</t>
        </is>
      </c>
      <c r="B23" s="43">
        <f>SUM(Verrechnung!I$9:I$108)</f>
        <v/>
      </c>
      <c r="C23" s="43">
        <f>SUM(Selbstkosten!I$9:I$108)</f>
        <v/>
      </c>
      <c r="D23" s="43">
        <f>SUM(Rückstellungen!I$9:I$108)+SUM(Rückstellungen!V$9:V$108)</f>
        <v/>
      </c>
      <c r="E23" s="34">
        <f>B23-C23-D23</f>
        <v/>
      </c>
      <c r="F23" s="35">
        <f>IFERROR(E23/B23,0)</f>
        <v/>
      </c>
    </row>
    <row r="24">
      <c r="A24" s="83" t="inlineStr">
        <is>
          <t>Jul</t>
        </is>
      </c>
      <c r="B24" s="40">
        <f>SUM(Verrechnung!J$9:J$108)</f>
        <v/>
      </c>
      <c r="C24" s="40">
        <f>SUM(Selbstkosten!J$9:J$108)</f>
        <v/>
      </c>
      <c r="D24" s="40">
        <f>SUM(Rückstellungen!J$9:J$108)+SUM(Rückstellungen!W$9:W$108)</f>
        <v/>
      </c>
      <c r="E24" s="28">
        <f>B24-C24-D24</f>
        <v/>
      </c>
      <c r="F24" s="29">
        <f>IFERROR(E24/B24,0)</f>
        <v/>
      </c>
    </row>
    <row r="25">
      <c r="A25" s="84" t="inlineStr">
        <is>
          <t>Aug</t>
        </is>
      </c>
      <c r="B25" s="43">
        <f>SUM(Verrechnung!K$9:K$108)</f>
        <v/>
      </c>
      <c r="C25" s="43">
        <f>SUM(Selbstkosten!K$9:K$108)</f>
        <v/>
      </c>
      <c r="D25" s="43">
        <f>SUM(Rückstellungen!K$9:K$108)+SUM(Rückstellungen!X$9:X$108)</f>
        <v/>
      </c>
      <c r="E25" s="34">
        <f>B25-C25-D25</f>
        <v/>
      </c>
      <c r="F25" s="35">
        <f>IFERROR(E25/B25,0)</f>
        <v/>
      </c>
    </row>
    <row r="26">
      <c r="A26" s="83" t="inlineStr">
        <is>
          <t>Sep</t>
        </is>
      </c>
      <c r="B26" s="40">
        <f>SUM(Verrechnung!L$9:L$108)</f>
        <v/>
      </c>
      <c r="C26" s="40">
        <f>SUM(Selbstkosten!L$9:L$108)</f>
        <v/>
      </c>
      <c r="D26" s="40">
        <f>SUM(Rückstellungen!L$9:L$108)+SUM(Rückstellungen!Y$9:Y$108)</f>
        <v/>
      </c>
      <c r="E26" s="28">
        <f>B26-C26-D26</f>
        <v/>
      </c>
      <c r="F26" s="29">
        <f>IFERROR(E26/B26,0)</f>
        <v/>
      </c>
    </row>
    <row r="27">
      <c r="A27" s="84" t="inlineStr">
        <is>
          <t>Okt</t>
        </is>
      </c>
      <c r="B27" s="43">
        <f>SUM(Verrechnung!M$9:M$108)</f>
        <v/>
      </c>
      <c r="C27" s="43">
        <f>SUM(Selbstkosten!M$9:M$108)</f>
        <v/>
      </c>
      <c r="D27" s="43">
        <f>SUM(Rückstellungen!M$9:M$108)+SUM(Rückstellungen!Z$9:Z$108)</f>
        <v/>
      </c>
      <c r="E27" s="34">
        <f>B27-C27-D27</f>
        <v/>
      </c>
      <c r="F27" s="35">
        <f>IFERROR(E27/B27,0)</f>
        <v/>
      </c>
    </row>
    <row r="28">
      <c r="A28" s="83" t="inlineStr">
        <is>
          <t>Nov</t>
        </is>
      </c>
      <c r="B28" s="40">
        <f>SUM(Verrechnung!N$9:N$108)</f>
        <v/>
      </c>
      <c r="C28" s="40">
        <f>SUM(Selbstkosten!N$9:N$108)</f>
        <v/>
      </c>
      <c r="D28" s="40">
        <f>SUM(Rückstellungen!N$9:N$108)+SUM(Rückstellungen!AA$9:AA$108)</f>
        <v/>
      </c>
      <c r="E28" s="28">
        <f>B28-C28-D28</f>
        <v/>
      </c>
      <c r="F28" s="29">
        <f>IFERROR(E28/B28,0)</f>
        <v/>
      </c>
    </row>
    <row r="29">
      <c r="A29" s="84" t="inlineStr">
        <is>
          <t>Dez</t>
        </is>
      </c>
      <c r="B29" s="43">
        <f>SUM(Verrechnung!O$9:O$108)</f>
        <v/>
      </c>
      <c r="C29" s="43">
        <f>SUM(Selbstkosten!O$9:O$108)</f>
        <v/>
      </c>
      <c r="D29" s="43">
        <f>SUM(Rückstellungen!O$9:O$108)+SUM(Rückstellungen!AB$9:AB$108)</f>
        <v/>
      </c>
      <c r="E29" s="34">
        <f>B29-C29-D29</f>
        <v/>
      </c>
      <c r="F29" s="35">
        <f>IFERROR(E29/B29,0)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2026-07-24T17:02:50Z</dcterms:created>
  <dcterms:modified xsi:type="dcterms:W3CDTF">2026-07-24T17:02:51Z</dcterms:modified>
</cp:coreProperties>
</file>