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Kalkulation" sheetId="2" state="visible" r:id="rId2"/>
    <sheet name="Angebot" sheetId="3" state="visible" r:id="rId3"/>
    <sheet name="Stammdaten" sheetId="4" state="visible" r:id="rId4"/>
    <sheet name="Monatsabrechnung" sheetId="5" state="visible" r:id="rId5"/>
    <sheet name="Rückstellungen" sheetId="6" state="visible" r:id="rId6"/>
    <sheet name="Kunden-Auswertung" sheetId="7" state="visible" r:id="rId7"/>
  </sheets>
  <definedNames>
    <definedName name="_xlnm.Print_Area" localSheetId="2">'Angebot'!$A$1:$I$74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&quot; €&quot;;[RED]-#,##0&quot; €&quot;;&quot;-&quot;&quot; €&quot;"/>
    <numFmt numFmtId="166" formatCode="#,##0.00&quot; €&quot;;[RED]-#,##0.00&quot; €&quot;;&quot;-&quot;&quot; €&quot;"/>
    <numFmt numFmtId="167" formatCode="0.0%;[RED]-0.0%;&quot;-&quot;"/>
  </numFmts>
  <fonts count="40">
    <font>
      <name val="Calibri"/>
      <family val="2"/>
      <color theme="1"/>
      <sz val="11"/>
      <scheme val="minor"/>
    </font>
    <font>
      <name val="Georgia"/>
      <b val="1"/>
      <color rgb="00F2EDE0"/>
      <sz val="18"/>
    </font>
    <font>
      <name val="Calibri"/>
      <i val="1"/>
      <color rgb="00F2EDE0"/>
      <sz val="10"/>
    </font>
    <font>
      <name val="Calibri"/>
      <i val="1"/>
      <color rgb="00191714"/>
      <sz val="9"/>
    </font>
    <font>
      <name val="Calibri"/>
      <i val="1"/>
      <color rgb="000000FF"/>
      <sz val="9"/>
    </font>
    <font>
      <name val="Georgia"/>
      <b val="1"/>
      <color rgb="00F2EDE0"/>
      <sz val="11"/>
    </font>
    <font>
      <name val="Calibri"/>
      <color rgb="00191714"/>
      <sz val="10"/>
    </font>
    <font>
      <name val="Consolas"/>
      <color rgb="000000FF"/>
      <sz val="10"/>
    </font>
    <font>
      <name val="Calibri"/>
      <b val="1"/>
      <color rgb="00191714"/>
      <sz val="10"/>
    </font>
    <font>
      <name val="Consolas"/>
      <b val="1"/>
      <color rgb="00191714"/>
      <sz val="10"/>
    </font>
    <font>
      <name val="Consolas"/>
      <b val="1"/>
      <color rgb="0014120F"/>
      <sz val="12"/>
    </font>
    <font>
      <name val="Calibri"/>
      <b val="1"/>
      <color rgb="00F2EDE0"/>
      <sz val="10"/>
    </font>
    <font>
      <name val="Calibri"/>
      <color rgb="000000FF"/>
      <sz val="10"/>
    </font>
    <font>
      <name val="Consolas"/>
      <color rgb="00191714"/>
      <sz val="10"/>
    </font>
    <font>
      <name val="Calibri"/>
      <color rgb="001E6B3C"/>
      <sz val="10"/>
    </font>
    <font>
      <name val="Consolas"/>
      <color rgb="001E6B3C"/>
      <sz val="10"/>
    </font>
    <font>
      <name val="Georgia"/>
      <b val="1"/>
      <color rgb="0086321F"/>
      <sz val="15"/>
    </font>
    <font>
      <name val="Calibri"/>
      <i val="1"/>
      <color rgb="006D6555"/>
      <sz val="10"/>
    </font>
    <font>
      <name val="Georgia"/>
      <b val="1"/>
      <color rgb="0014120F"/>
      <sz val="20"/>
    </font>
    <font>
      <name val="Georgia"/>
      <b val="1"/>
      <color rgb="0014120F"/>
      <sz val="11"/>
    </font>
    <font>
      <name val="Georgia"/>
      <b val="1"/>
      <color rgb="0086321F"/>
      <sz val="13"/>
    </font>
    <font>
      <name val="Calibri"/>
      <color rgb="006D6555"/>
      <sz val="9"/>
    </font>
    <font>
      <name val="Calibri"/>
      <i val="1"/>
      <color rgb="006D6555"/>
      <sz val="9"/>
    </font>
    <font>
      <name val="Calibri"/>
      <i val="1"/>
      <color rgb="006D6555"/>
      <sz val="8"/>
    </font>
    <font>
      <name val="Calibri"/>
      <i val="1"/>
      <color rgb="001E6B3C"/>
      <sz val="9"/>
    </font>
    <font>
      <name val="Georgia"/>
      <b val="1"/>
      <color rgb="0014120F"/>
      <sz val="12"/>
    </font>
    <font>
      <name val="Consolas"/>
      <b val="1"/>
      <color rgb="001E6B3C"/>
      <sz val="10"/>
    </font>
    <font>
      <name val="Calibri"/>
      <b val="1"/>
      <color rgb="000000FF"/>
      <sz val="10"/>
    </font>
    <font>
      <name val="Calibri"/>
      <i val="1"/>
      <color rgb="000000FF"/>
      <sz val="10"/>
    </font>
    <font>
      <name val="Calibri"/>
      <i val="1"/>
      <color rgb="003E6B8A"/>
      <sz val="9"/>
    </font>
    <font>
      <name val="Calibri"/>
      <i val="1"/>
      <color rgb="0086321F"/>
      <sz val="9"/>
    </font>
    <font>
      <name val="Calibri"/>
      <b val="1"/>
      <color rgb="00191714"/>
      <sz val="9"/>
    </font>
    <font>
      <name val="Consolas"/>
      <color rgb="0086321F"/>
      <sz val="10"/>
    </font>
    <font>
      <name val="Calibri"/>
      <b val="1"/>
      <color rgb="00F2EDE0"/>
      <sz val="8"/>
    </font>
    <font>
      <name val="Consolas"/>
      <b val="1"/>
      <color rgb="00F2EDE0"/>
      <sz val="16"/>
    </font>
    <font>
      <name val="Calibri"/>
      <b val="1"/>
      <color rgb="006D6555"/>
      <sz val="7.5"/>
    </font>
    <font>
      <name val="Consolas"/>
      <b val="1"/>
      <color rgb="00191714"/>
      <sz val="13"/>
    </font>
    <font>
      <name val="Consolas"/>
      <b val="1"/>
      <color rgb="0086321F"/>
      <sz val="13"/>
    </font>
    <font>
      <name val="Calibri"/>
      <color rgb="006D6555"/>
      <sz val="10"/>
    </font>
    <font>
      <name val="Consolas"/>
      <b val="1"/>
      <color rgb="0086321F"/>
      <sz val="10"/>
    </font>
  </fonts>
  <fills count="11">
    <fill>
      <patternFill/>
    </fill>
    <fill>
      <patternFill patternType="gray125"/>
    </fill>
    <fill>
      <patternFill patternType="solid">
        <fgColor rgb="0014120F"/>
      </patternFill>
    </fill>
    <fill>
      <patternFill patternType="solid">
        <fgColor rgb="0086321F"/>
      </patternFill>
    </fill>
    <fill>
      <patternFill patternType="solid">
        <fgColor rgb="00FBEBC2"/>
      </patternFill>
    </fill>
    <fill>
      <patternFill patternType="solid">
        <fgColor rgb="00ECE4D0"/>
      </patternFill>
    </fill>
    <fill>
      <patternFill patternType="solid">
        <fgColor rgb="005A4423"/>
      </patternFill>
    </fill>
    <fill>
      <patternFill patternType="solid">
        <fgColor rgb="00F6F2E8"/>
      </patternFill>
    </fill>
    <fill>
      <patternFill patternType="solid">
        <fgColor rgb="002E7D46"/>
      </patternFill>
    </fill>
    <fill>
      <patternFill patternType="solid">
        <fgColor rgb="008A6A3E"/>
      </patternFill>
    </fill>
    <fill>
      <patternFill patternType="solid">
        <fgColor rgb="000B0A08"/>
      </patternFill>
    </fill>
  </fills>
  <borders count="15">
    <border>
      <left/>
      <right/>
      <top/>
      <bottom/>
      <diagonal/>
    </border>
    <border>
      <left style="thin">
        <color rgb="00C9C2B2"/>
      </left>
      <right style="thin">
        <color rgb="00C9C2B2"/>
      </right>
      <top style="thin">
        <color rgb="00C9C2B2"/>
      </top>
      <bottom style="thin">
        <color rgb="00C9C2B2"/>
      </bottom>
    </border>
    <border>
      <left style="thin">
        <color rgb="0014120F"/>
      </left>
      <right style="thin">
        <color rgb="0014120F"/>
      </right>
      <top style="thin">
        <color rgb="0014120F"/>
      </top>
      <bottom style="thin">
        <color rgb="0014120F"/>
      </bottom>
    </border>
    <border>
      <bottom style="medium">
        <color rgb="0014120F"/>
      </bottom>
    </border>
    <border>
      <bottom style="thin">
        <color rgb="00191714"/>
      </bottom>
    </border>
    <border>
      <left/>
      <right/>
      <top/>
      <bottom style="thin">
        <color rgb="00191714"/>
      </bottom>
      <diagonal/>
    </border>
    <border>
      <left style="thin">
        <color rgb="00C9C2B2"/>
      </left>
      <right style="thin">
        <color rgb="00C9C2B2"/>
      </right>
      <top style="medium">
        <color rgb="0014120F"/>
      </top>
      <bottom style="thin">
        <color rgb="00C9C2B2"/>
      </bottom>
    </border>
    <border>
      <left style="thin">
        <color rgb="00C9C2B2"/>
      </left>
      <right style="thin">
        <color rgb="00C9C2B2"/>
      </right>
      <top style="thin">
        <color rgb="00C9C2B2"/>
      </top>
      <bottom style="medium">
        <color rgb="0014120F"/>
      </bottom>
    </border>
    <border>
      <left style="thin">
        <color rgb="0014120F"/>
      </left>
      <right style="thin">
        <color rgb="0014120F"/>
      </right>
    </border>
    <border>
      <left style="thin">
        <color rgb="0014120F"/>
      </left>
      <top style="thin">
        <color rgb="00C9C2B2"/>
      </top>
      <bottom style="thin">
        <color rgb="0014120F"/>
      </bottom>
    </border>
    <border>
      <right style="thin">
        <color rgb="0014120F"/>
      </right>
      <top style="thin">
        <color rgb="00C9C2B2"/>
      </top>
      <bottom style="thin">
        <color rgb="0014120F"/>
      </bottom>
    </border>
    <border>
      <left style="thin">
        <color rgb="00C9C2B2"/>
      </left>
      <right style="thin">
        <color rgb="00C9C2B2"/>
      </right>
      <top style="thin">
        <color rgb="00C9C2B2"/>
      </top>
      <bottom style="medium">
        <color rgb="00A8402C"/>
      </bottom>
    </border>
    <border>
      <left/>
      <right/>
      <top style="thin">
        <color rgb="0014120F"/>
      </top>
      <bottom/>
      <diagonal/>
    </border>
    <border>
      <left/>
      <right style="thin">
        <color rgb="0014120F"/>
      </right>
      <top style="thin">
        <color rgb="0014120F"/>
      </top>
      <bottom/>
      <diagonal/>
    </border>
    <border>
      <left/>
      <right style="thin">
        <color rgb="0014120F"/>
      </right>
      <top style="thin">
        <color rgb="0014120F"/>
      </top>
      <bottom style="thin">
        <color rgb="0014120F"/>
      </bottom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3" fillId="2" borderId="8" applyAlignment="1" pivotButton="0" quotePrefix="0" xfId="0">
      <alignment horizontal="center" vertical="center" wrapText="1"/>
    </xf>
    <xf numFmtId="0" fontId="0" fillId="0" borderId="8" pivotButton="0" quotePrefix="0" xfId="0"/>
    <xf numFmtId="0" fontId="33" fillId="3" borderId="8" applyAlignment="1" pivotButton="0" quotePrefix="0" xfId="0">
      <alignment horizontal="center" vertical="center" wrapText="1"/>
    </xf>
    <xf numFmtId="0" fontId="33" fillId="6" borderId="8" applyAlignment="1" pivotButton="0" quotePrefix="0" xfId="0">
      <alignment horizontal="center" vertical="center" wrapText="1"/>
    </xf>
    <xf numFmtId="0" fontId="33" fillId="8" borderId="8" applyAlignment="1" pivotButton="0" quotePrefix="0" xfId="0">
      <alignment horizontal="center" vertical="center" wrapText="1"/>
    </xf>
    <xf numFmtId="0" fontId="33" fillId="10" borderId="8" applyAlignment="1" pivotButton="0" quotePrefix="0" xfId="0">
      <alignment horizontal="center" vertical="center" wrapText="1"/>
    </xf>
    <xf numFmtId="165" fontId="34" fillId="2" borderId="9" applyAlignment="1" pivotButton="0" quotePrefix="0" xfId="0">
      <alignment horizontal="center" vertical="center"/>
    </xf>
    <xf numFmtId="0" fontId="0" fillId="0" borderId="10" pivotButton="0" quotePrefix="0" xfId="0"/>
    <xf numFmtId="165" fontId="34" fillId="3" borderId="9" applyAlignment="1" pivotButton="0" quotePrefix="0" xfId="0">
      <alignment horizontal="center" vertical="center"/>
    </xf>
    <xf numFmtId="165" fontId="34" fillId="6" borderId="9" applyAlignment="1" pivotButton="0" quotePrefix="0" xfId="0">
      <alignment horizontal="center" vertical="center"/>
    </xf>
    <xf numFmtId="165" fontId="34" fillId="8" borderId="9" applyAlignment="1" pivotButton="0" quotePrefix="0" xfId="0">
      <alignment horizontal="center" vertical="center"/>
    </xf>
    <xf numFmtId="167" fontId="34" fillId="10" borderId="9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 wrapText="1"/>
    </xf>
    <xf numFmtId="165" fontId="36" fillId="7" borderId="11" applyAlignment="1" pivotButton="0" quotePrefix="0" xfId="0">
      <alignment horizontal="center" vertical="center"/>
    </xf>
    <xf numFmtId="0" fontId="0" fillId="0" borderId="11" pivotButton="0" quotePrefix="0" xfId="0"/>
    <xf numFmtId="167" fontId="36" fillId="7" borderId="11" applyAlignment="1" pivotButton="0" quotePrefix="0" xfId="0">
      <alignment horizontal="center" vertical="center"/>
    </xf>
    <xf numFmtId="1" fontId="37" fillId="7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31" fillId="5" borderId="2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6" fillId="0" borderId="1" pivotButton="0" quotePrefix="0" xfId="0"/>
    <xf numFmtId="0" fontId="38" fillId="0" borderId="1" pivotButton="0" quotePrefix="0" xfId="0"/>
    <xf numFmtId="165" fontId="9" fillId="0" borderId="1" applyAlignment="1" pivotButton="0" quotePrefix="0" xfId="0">
      <alignment horizontal="right"/>
    </xf>
    <xf numFmtId="167" fontId="13" fillId="0" borderId="1" applyAlignment="1" pivotButton="0" quotePrefix="0" xfId="0">
      <alignment horizontal="right"/>
    </xf>
    <xf numFmtId="165" fontId="39" fillId="0" borderId="1" applyAlignment="1" pivotButton="0" quotePrefix="0" xfId="0">
      <alignment horizontal="right"/>
    </xf>
    <xf numFmtId="0" fontId="9" fillId="7" borderId="1" applyAlignment="1" pivotButton="0" quotePrefix="0" xfId="0">
      <alignment horizontal="center"/>
    </xf>
    <xf numFmtId="0" fontId="6" fillId="7" borderId="1" pivotButton="0" quotePrefix="0" xfId="0"/>
    <xf numFmtId="0" fontId="38" fillId="7" borderId="1" pivotButton="0" quotePrefix="0" xfId="0"/>
    <xf numFmtId="165" fontId="9" fillId="7" borderId="1" applyAlignment="1" pivotButton="0" quotePrefix="0" xfId="0">
      <alignment horizontal="right"/>
    </xf>
    <xf numFmtId="167" fontId="13" fillId="7" borderId="1" applyAlignment="1" pivotButton="0" quotePrefix="0" xfId="0">
      <alignment horizontal="right"/>
    </xf>
    <xf numFmtId="165" fontId="39" fillId="7" borderId="1" applyAlignment="1" pivotButton="0" quotePrefix="0" xfId="0">
      <alignment horizontal="right"/>
    </xf>
    <xf numFmtId="0" fontId="0" fillId="0" borderId="14" pivotButton="0" quotePrefix="0" xfId="0"/>
    <xf numFmtId="0" fontId="8" fillId="0" borderId="1" pivotButton="0" quotePrefix="0" xfId="0"/>
    <xf numFmtId="0" fontId="0" fillId="0" borderId="1" pivotButton="0" quotePrefix="0" xfId="0"/>
    <xf numFmtId="165" fontId="13" fillId="0" borderId="1" applyAlignment="1" pivotButton="0" quotePrefix="0" xfId="0">
      <alignment horizontal="right"/>
    </xf>
    <xf numFmtId="0" fontId="8" fillId="7" borderId="1" pivotButton="0" quotePrefix="0" xfId="0"/>
    <xf numFmtId="0" fontId="0" fillId="7" borderId="1" pivotButton="0" quotePrefix="0" xfId="0"/>
    <xf numFmtId="165" fontId="13" fillId="7" borderId="1" applyAlignment="1" pivotButton="0" quotePrefix="0" xfId="0">
      <alignment horizontal="right"/>
    </xf>
    <xf numFmtId="0" fontId="22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0" fontId="7" fillId="4" borderId="1" applyAlignment="1" pivotButton="0" quotePrefix="0" xfId="0">
      <alignment horizontal="right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10" fontId="9" fillId="5" borderId="1" applyAlignment="1" pivotButton="0" quotePrefix="0" xfId="0">
      <alignment horizontal="right"/>
    </xf>
    <xf numFmtId="0" fontId="8" fillId="0" borderId="0" applyAlignment="1" pivotButton="0" quotePrefix="0" xfId="0">
      <alignment horizontal="left" vertical="center"/>
    </xf>
    <xf numFmtId="10" fontId="9" fillId="0" borderId="1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164" fontId="10" fillId="0" borderId="1" applyAlignment="1" pivotButton="0" quotePrefix="0" xfId="0">
      <alignment horizontal="right"/>
    </xf>
    <xf numFmtId="0" fontId="11" fillId="6" borderId="2" applyAlignment="1" pivotButton="0" quotePrefix="0" xfId="0">
      <alignment horizontal="center" vertical="center" wrapText="1"/>
    </xf>
    <xf numFmtId="0" fontId="12" fillId="4" borderId="1" pivotButton="0" quotePrefix="0" xfId="0"/>
    <xf numFmtId="165" fontId="7" fillId="4" borderId="1" applyAlignment="1" pivotButton="0" quotePrefix="0" xfId="0">
      <alignment horizontal="right"/>
    </xf>
    <xf numFmtId="165" fontId="9" fillId="5" borderId="1" applyAlignment="1" pivotButton="0" quotePrefix="0" xfId="0">
      <alignment horizontal="right"/>
    </xf>
    <xf numFmtId="164" fontId="13" fillId="0" borderId="1" applyAlignment="1" pivotButton="0" quotePrefix="0" xfId="0">
      <alignment horizontal="right"/>
    </xf>
    <xf numFmtId="0" fontId="12" fillId="7" borderId="1" pivotButton="0" quotePrefix="0" xfId="0"/>
    <xf numFmtId="165" fontId="7" fillId="7" borderId="1" applyAlignment="1" pivotButton="0" quotePrefix="0" xfId="0">
      <alignment horizontal="right"/>
    </xf>
    <xf numFmtId="164" fontId="13" fillId="7" borderId="1" applyAlignment="1" pivotButton="0" quotePrefix="0" xfId="0">
      <alignment horizontal="right"/>
    </xf>
    <xf numFmtId="0" fontId="11" fillId="3" borderId="2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 indent="1"/>
    </xf>
    <xf numFmtId="0" fontId="11" fillId="8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/>
    </xf>
    <xf numFmtId="166" fontId="15" fillId="0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166" fontId="9" fillId="0" borderId="1" applyAlignment="1" pivotButton="0" quotePrefix="0" xfId="0">
      <alignment horizontal="right"/>
    </xf>
    <xf numFmtId="1" fontId="7" fillId="4" borderId="1" applyAlignment="1" pivotButton="0" quotePrefix="0" xfId="0">
      <alignment horizontal="right"/>
    </xf>
    <xf numFmtId="0" fontId="8" fillId="0" borderId="1" applyAlignment="1" pivotButton="0" quotePrefix="0" xfId="0">
      <alignment horizontal="center"/>
    </xf>
    <xf numFmtId="0" fontId="14" fillId="7" borderId="1" applyAlignment="1" pivotButton="0" quotePrefix="0" xfId="0">
      <alignment horizontal="left"/>
    </xf>
    <xf numFmtId="166" fontId="15" fillId="7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9" fillId="7" borderId="1" applyAlignment="1" pivotButton="0" quotePrefix="0" xfId="0">
      <alignment horizontal="right"/>
    </xf>
    <xf numFmtId="1" fontId="7" fillId="7" borderId="1" applyAlignment="1" pivotButton="0" quotePrefix="0" xfId="0">
      <alignment horizontal="right"/>
    </xf>
    <xf numFmtId="0" fontId="8" fillId="7" borderId="1" applyAlignment="1" pivotButton="0" quotePrefix="0" xfId="0">
      <alignment horizontal="center"/>
    </xf>
    <xf numFmtId="0" fontId="16" fillId="4" borderId="0" pivotButton="0" quotePrefix="0" xfId="0"/>
    <xf numFmtId="0" fontId="17" fillId="0" borderId="1" applyAlignment="1" pivotButton="0" quotePrefix="0" xfId="0">
      <alignment horizontal="center" vertical="center" wrapText="1"/>
    </xf>
    <xf numFmtId="0" fontId="12" fillId="4" borderId="0" pivotButton="0" quotePrefix="0" xfId="0"/>
    <xf numFmtId="0" fontId="0" fillId="0" borderId="3" pivotButton="0" quotePrefix="0" xfId="0"/>
    <xf numFmtId="0" fontId="8" fillId="0" borderId="0" pivotButton="0" quotePrefix="0" xfId="0"/>
    <xf numFmtId="0" fontId="14" fillId="0" borderId="1" applyAlignment="1" pivotButton="0" quotePrefix="0" xfId="0">
      <alignment horizontal="right"/>
    </xf>
    <xf numFmtId="0" fontId="1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11" fillId="2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/>
    </xf>
    <xf numFmtId="0" fontId="0" fillId="7" borderId="0" pivotButton="0" quotePrefix="0" xfId="0"/>
    <xf numFmtId="0" fontId="14" fillId="7" borderId="1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9" fillId="0" borderId="0" pivotButton="0" quotePrefix="0" xfId="0"/>
    <xf numFmtId="0" fontId="12" fillId="4" borderId="0" applyAlignment="1" pivotButton="0" quotePrefix="0" xfId="0">
      <alignment horizontal="left" vertical="top" wrapText="1"/>
    </xf>
    <xf numFmtId="0" fontId="20" fillId="0" borderId="0" pivotButton="0" quotePrefix="0" xfId="0"/>
    <xf numFmtId="0" fontId="21" fillId="0" borderId="0" pivotButton="0" quotePrefix="0" xfId="0"/>
    <xf numFmtId="9" fontId="7" fillId="4" borderId="1" applyAlignment="1" pivotButton="0" quotePrefix="0" xfId="0">
      <alignment horizontal="right"/>
    </xf>
    <xf numFmtId="0" fontId="17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horizontal="left" vertical="center"/>
    </xf>
    <xf numFmtId="0" fontId="25" fillId="0" borderId="0" pivotButton="0" quotePrefix="0" xfId="0"/>
    <xf numFmtId="0" fontId="6" fillId="0" borderId="0" pivotButton="0" quotePrefix="0" xfId="0"/>
    <xf numFmtId="10" fontId="26" fillId="0" borderId="1" applyAlignment="1" pivotButton="0" quotePrefix="0" xfId="0">
      <alignment horizontal="center"/>
    </xf>
    <xf numFmtId="0" fontId="11" fillId="2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27" fillId="0" borderId="1" pivotButton="0" quotePrefix="0" xfId="0"/>
    <xf numFmtId="0" fontId="12" fillId="0" borderId="1" pivotButton="0" quotePrefix="0" xfId="0"/>
    <xf numFmtId="0" fontId="28" fillId="0" borderId="1" pivotButton="0" quotePrefix="0" xfId="0"/>
    <xf numFmtId="0" fontId="7" fillId="7" borderId="6" applyAlignment="1" pivotButton="0" quotePrefix="0" xfId="0">
      <alignment horizontal="center"/>
    </xf>
    <xf numFmtId="0" fontId="27" fillId="7" borderId="6" pivotButton="0" quotePrefix="0" xfId="0"/>
    <xf numFmtId="0" fontId="12" fillId="7" borderId="6" pivotButton="0" quotePrefix="0" xfId="0"/>
    <xf numFmtId="0" fontId="28" fillId="7" borderId="6" pivotButton="0" quotePrefix="0" xfId="0"/>
    <xf numFmtId="0" fontId="7" fillId="7" borderId="1" applyAlignment="1" pivotButton="0" quotePrefix="0" xfId="0">
      <alignment horizontal="center"/>
    </xf>
    <xf numFmtId="0" fontId="27" fillId="7" borderId="1" pivotButton="0" quotePrefix="0" xfId="0"/>
    <xf numFmtId="0" fontId="28" fillId="7" borderId="1" pivotButton="0" quotePrefix="0" xfId="0"/>
    <xf numFmtId="0" fontId="7" fillId="0" borderId="6" applyAlignment="1" pivotButton="0" quotePrefix="0" xfId="0">
      <alignment horizontal="center"/>
    </xf>
    <xf numFmtId="0" fontId="27" fillId="0" borderId="6" pivotButton="0" quotePrefix="0" xfId="0"/>
    <xf numFmtId="0" fontId="12" fillId="0" borderId="6" pivotButton="0" quotePrefix="0" xfId="0"/>
    <xf numFmtId="0" fontId="28" fillId="0" borderId="6" pivotButton="0" quotePrefix="0" xfId="0"/>
    <xf numFmtId="0" fontId="29" fillId="0" borderId="1" applyAlignment="1" pivotButton="0" quotePrefix="0" xfId="0">
      <alignment horizontal="center"/>
    </xf>
    <xf numFmtId="0" fontId="30" fillId="0" borderId="1" applyAlignment="1" pivotButton="0" quotePrefix="0" xfId="0">
      <alignment horizontal="center"/>
    </xf>
    <xf numFmtId="0" fontId="31" fillId="0" borderId="1" applyAlignment="1" pivotButton="0" quotePrefix="0" xfId="0">
      <alignment horizontal="center"/>
    </xf>
    <xf numFmtId="167" fontId="13" fillId="5" borderId="1" applyAlignment="1" pivotButton="0" quotePrefix="0" xfId="0">
      <alignment horizontal="right"/>
    </xf>
    <xf numFmtId="0" fontId="29" fillId="7" borderId="1" applyAlignment="1" pivotButton="0" quotePrefix="0" xfId="0">
      <alignment horizontal="center"/>
    </xf>
    <xf numFmtId="0" fontId="30" fillId="7" borderId="1" applyAlignment="1" pivotButton="0" quotePrefix="0" xfId="0">
      <alignment horizontal="center"/>
    </xf>
    <xf numFmtId="0" fontId="14" fillId="7" borderId="7" applyAlignment="1" pivotButton="0" quotePrefix="0" xfId="0">
      <alignment horizontal="center"/>
    </xf>
    <xf numFmtId="0" fontId="14" fillId="7" borderId="7" applyAlignment="1" pivotButton="0" quotePrefix="0" xfId="0">
      <alignment horizontal="left"/>
    </xf>
    <xf numFmtId="0" fontId="31" fillId="7" borderId="7" applyAlignment="1" pivotButton="0" quotePrefix="0" xfId="0">
      <alignment horizontal="center"/>
    </xf>
    <xf numFmtId="165" fontId="13" fillId="0" borderId="7" applyAlignment="1" pivotButton="0" quotePrefix="0" xfId="0">
      <alignment horizontal="right"/>
    </xf>
    <xf numFmtId="165" fontId="9" fillId="5" borderId="7" applyAlignment="1" pivotButton="0" quotePrefix="0" xfId="0">
      <alignment horizontal="right"/>
    </xf>
    <xf numFmtId="167" fontId="13" fillId="5" borderId="7" applyAlignment="1" pivotButton="0" quotePrefix="0" xfId="0">
      <alignment horizontal="right"/>
    </xf>
    <xf numFmtId="0" fontId="31" fillId="7" borderId="1" applyAlignment="1" pivotButton="0" quotePrefix="0" xfId="0">
      <alignment horizontal="center"/>
    </xf>
    <xf numFmtId="0" fontId="14" fillId="0" borderId="7" applyAlignment="1" pivotButton="0" quotePrefix="0" xfId="0">
      <alignment horizontal="center"/>
    </xf>
    <xf numFmtId="0" fontId="14" fillId="0" borderId="7" applyAlignment="1" pivotButton="0" quotePrefix="0" xfId="0">
      <alignment horizontal="left"/>
    </xf>
    <xf numFmtId="0" fontId="31" fillId="0" borderId="7" applyAlignment="1" pivotButton="0" quotePrefix="0" xfId="0">
      <alignment horizontal="center"/>
    </xf>
    <xf numFmtId="0" fontId="11" fillId="6" borderId="0" applyAlignment="1" pivotButton="0" quotePrefix="0" xfId="0">
      <alignment horizontal="center"/>
    </xf>
    <xf numFmtId="0" fontId="11" fillId="9" borderId="0" applyAlignment="1" pivotButton="0" quotePrefix="0" xfId="0">
      <alignment horizontal="center"/>
    </xf>
    <xf numFmtId="0" fontId="11" fillId="3" borderId="0" applyAlignment="1" pivotButton="0" quotePrefix="0" xfId="0">
      <alignment horizontal="center"/>
    </xf>
    <xf numFmtId="165" fontId="15" fillId="0" borderId="1" applyAlignment="1" pivotButton="0" quotePrefix="0" xfId="0">
      <alignment horizontal="right"/>
    </xf>
    <xf numFmtId="165" fontId="26" fillId="0" borderId="1" applyAlignment="1" pivotButton="0" quotePrefix="0" xfId="0">
      <alignment horizontal="right"/>
    </xf>
    <xf numFmtId="1" fontId="13" fillId="0" borderId="1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15" fillId="7" borderId="1" applyAlignment="1" pivotButton="0" quotePrefix="0" xfId="0">
      <alignment horizontal="right"/>
    </xf>
    <xf numFmtId="165" fontId="26" fillId="7" borderId="1" applyAlignment="1" pivotButton="0" quotePrefix="0" xfId="0">
      <alignment horizontal="right"/>
    </xf>
    <xf numFmtId="1" fontId="13" fillId="7" borderId="1" applyAlignment="1" pivotButton="0" quotePrefix="0" xfId="0">
      <alignment horizontal="center"/>
    </xf>
    <xf numFmtId="0" fontId="32" fillId="7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E7C9C0"/>
        </patternFill>
      </fill>
    </dxf>
    <dxf>
      <font>
        <b val="1"/>
        <color rgb="0086321F"/>
      </font>
      <fill>
        <patternFill patternType="solid">
          <fgColor rgb="00E7C9C0"/>
        </patternFill>
      </fill>
    </dxf>
    <dxf>
      <font>
        <b val="1"/>
        <color rgb="002E7D46"/>
      </font>
      <fill>
        <patternFill patternType="solid">
          <fgColor rgb="00CFE3D3"/>
        </patternFill>
      </fill>
    </dxf>
    <dxf>
      <font>
        <color rgb="0086321F"/>
      </font>
      <fill>
        <patternFill patternType="solid">
          <fgColor rgb="00E7C9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DB1 nach Kunde (Jahr)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4120F"/>
            </a:solidFill>
            <a:ln>
              <a:prstDash val="solid"/>
            </a:ln>
          </spPr>
          <cat>
            <numRef>
              <f>'Übersicht'!$C$26:$C$35</f>
            </numRef>
          </cat>
          <val>
            <numRef>
              <f>'Übersicht'!$F$26:$F$35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DB1 in 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Mitarbeiter nach DB1 (Jahr)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7D46"/>
            </a:solidFill>
            <a:ln>
              <a:prstDash val="solid"/>
            </a:ln>
          </spPr>
          <cat>
            <numRef>
              <f>'Übersicht'!$C$12:$C$21</f>
            </numRef>
          </cat>
          <val>
            <numRef>
              <f>'Übersicht'!$E$12:$E$21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DB1 in 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'Kunden-Auswertung'!B134</f>
            </strRef>
          </tx>
          <spPr>
            <a:ln w="22000">
              <a:solidFill>
                <a:srgbClr val="1412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'Kunden-Auswertung'!$A$135:$A$146</f>
            </numRef>
          </cat>
          <val>
            <numRef>
              <f>'Kunden-Auswertung'!$B$135:$B$146</f>
            </numRef>
          </val>
          <smooth val="0"/>
        </ser>
        <ser>
          <idx val="1"/>
          <order val="1"/>
          <tx>
            <strRef>
              <f>'Kunden-Auswertung'!C134</f>
            </strRef>
          </tx>
          <spPr>
            <a:ln w="22000">
              <a:solidFill>
                <a:srgbClr val="863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'Kunden-Auswertung'!$A$135:$A$146</f>
            </numRef>
          </cat>
          <val>
            <numRef>
              <f>'Kunden-Auswertung'!$C$135:$C$146</f>
            </numRef>
          </val>
          <smooth val="0"/>
        </ser>
        <ser>
          <idx val="2"/>
          <order val="2"/>
          <tx>
            <strRef>
              <f>'Kunden-Auswertung'!D134</f>
            </strRef>
          </tx>
          <spPr>
            <a:ln w="22000">
              <a:solidFill>
                <a:srgbClr val="8A6A3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'Kunden-Auswertung'!$A$135:$A$146</f>
            </numRef>
          </cat>
          <val>
            <numRef>
              <f>'Kunden-Auswertung'!$D$135:$D$146</f>
            </numRef>
          </val>
          <smooth val="0"/>
        </ser>
        <ser>
          <idx val="3"/>
          <order val="3"/>
          <tx>
            <strRef>
              <f>'Kunden-Auswertung'!E134</f>
            </strRef>
          </tx>
          <spPr>
            <a:ln w="22000">
              <a:solidFill>
                <a:srgbClr val="2E7D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'Kunden-Auswertung'!$A$135:$A$146</f>
            </numRef>
          </cat>
          <val>
            <numRef>
              <f>'Kunden-Auswertung'!$E$135:$E$146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Fox &amp; People</author>
  </authors>
  <commentList>
    <comment ref="C9" authorId="0" shapeId="0">
      <text>
        <t>Ab 1.1.2023 von 1,20% auf 1,10% gesenkt (WIFI NÖ Unterlage 2023).</t>
      </text>
    </comment>
    <comment ref="C14" authorId="0" shapeId="0">
      <text>
        <t>Nur für Arbeitskräfteüberlasser (§ 22d AÜG). Ab 04.2019: 0,35% der Beitragsgrundlage.</t>
      </text>
    </comment>
    <comment ref="C17" authorId="0" shapeId="0">
      <text>
        <t>Beispiel Niederösterreich 2022 (0,38%). Andere Bundesländer 2022: Burgenland 0,42% · Kärnten 0,39% · Oberösterreich 0,34% · Salzburg 0,40% · Steiermark 0,36% · Tirol 0,41% · Vorarlberg 0,37% · Wien 0,38%.</t>
      </text>
    </comment>
    <comment ref="C26" authorId="0" shapeId="0">
      <text>
        <t>Nur wenn die Einstellungspflicht für begünstigte Behinderte nicht erfüllt ist. Sonst auf 0% setzen.</t>
      </text>
    </comment>
    <comment ref="C49" authorId="0" shapeId="0">
      <text>
        <t>Nur wenn die Einstellungspflicht für begünstigte Behinderte nicht erfüllt ist. Sonst auf 0% setzen.</t>
      </text>
    </comment>
  </commentList>
</comments>
</file>

<file path=xl/comments/comment2.xml><?xml version="1.0" encoding="utf-8"?>
<comments xmlns="http://schemas.openxmlformats.org/spreadsheetml/2006/main">
  <authors>
    <author>Fox &amp; People</author>
  </authors>
  <commentList>
    <comment ref="C5" authorId="0" shapeId="0">
      <text>
        <t>Annahme: Urlaubsgeld entspricht 1 Monatsgehalt/-satz pro Jahr → 1/12 = 8,33% Rückstellung je Monat. Bitte an den tatsächlichen Kollektivvertrag / die Firmenregelung anpassen.</t>
      </text>
    </comment>
    <comment ref="C6" authorId="0" shapeId="0">
      <text>
        <t>Annahme: Weihnachtsgeld entspricht 1 Monatsgehalt/-satz pro Jahr → 1/12 = 8,33% Rückstellung je Monat. Bitte an den tatsächlichen Kollektivvertrag / die Firmenregelung anpassen.</t>
      </text>
    </comment>
    <comment ref="C7" authorId="0" shapeId="0">
      <text>
        <t>Verknüpft mit dem Blatt 'Kalkulation' (DG-Abgaben Gesamt, Sozialversicherung + SWF + MVK + DB/DZ + Kommunalsteuer, Stand WIFI NÖ Kalkulationsschema 2023: 29,99%). Selbstkosten (Blatt 'Selbstkosten') = reiner Grundlohn lt. Lohnüberweisung, OHNE DG-Abgaben und ohne 13./14. Der DG-Abgaben-Satz wird auf den laufenden Grundlohn UND anteilig auf die Urlaubs-/Weihnachtsgeld-Rückstellung angewendet, da SV-Beiträge auch auf das 13./14. Gehalt anfallen. Einzelsätze im Blatt 'Kalkulation' editierbar.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122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A8402C"/>
    <outlinePr summaryBelow="1" summaryRight="1"/>
    <pageSetUpPr/>
  </sheetPr>
  <dimension ref="A1:O58"/>
  <sheetViews>
    <sheetView showGridLines="0" tabSelected="1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27" customWidth="1" min="3" max="3"/>
    <col width="22" customWidth="1" min="4" max="4"/>
    <col width="15" customWidth="1" min="5" max="5"/>
    <col width="11" customWidth="1" min="6" max="6"/>
    <col width="3" customWidth="1" min="7" max="7"/>
    <col width="9" customWidth="1" min="8" max="8"/>
    <col width="27" customWidth="1" min="9" max="9"/>
    <col width="22" customWidth="1" min="10" max="10"/>
    <col width="15" customWidth="1" min="11" max="11"/>
    <col width="11" customWidth="1" min="12" max="12"/>
    <col width="3" customWidth="1" min="13" max="13"/>
    <col width="15" customWidth="1" min="14" max="14"/>
    <col width="15" customWidth="1" min="15" max="15"/>
  </cols>
  <sheetData>
    <row r="1" ht="26" customHeight="1">
      <c r="A1" s="1" t="inlineStr">
        <is>
          <t>FOX &amp; PEOPLE — Personalcontrolling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Verrechnung · Rückstellungen · DB1  —  Geschäftsjahresübersicht (automatisch aus allen Blättern berechnet)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6" customHeight="1"/>
    <row r="5" ht="26" customHeight="1">
      <c r="B5" s="5" t="inlineStr">
        <is>
          <t>GESAMTUMSATZ (JAHR)</t>
        </is>
      </c>
      <c r="C5" s="6" t="n"/>
      <c r="E5" s="7" t="inlineStr">
        <is>
          <t>SELBSTKOSTEN (JAHR)</t>
        </is>
      </c>
      <c r="F5" s="6" t="n"/>
      <c r="H5" s="8" t="inlineStr">
        <is>
          <t>ABGABEN &amp; RÜCKSTELLUNGEN (JAHR)</t>
        </is>
      </c>
      <c r="I5" s="6" t="n"/>
      <c r="K5" s="9" t="inlineStr">
        <is>
          <t>DB1 GESAMT (JAHR)</t>
        </is>
      </c>
      <c r="L5" s="6" t="n"/>
      <c r="N5" s="10" t="inlineStr">
        <is>
          <t>Ø DB1-MARGE</t>
        </is>
      </c>
      <c r="O5" s="6" t="n"/>
    </row>
    <row r="6" ht="30" customHeight="1">
      <c r="B6" s="11">
        <f>SUM('Kunden-Auswertung'!D5:D104)</f>
        <v/>
      </c>
      <c r="C6" s="12" t="n"/>
      <c r="E6" s="13">
        <f>SUM('Kunden-Auswertung'!E5:E104)</f>
        <v/>
      </c>
      <c r="F6" s="12" t="n"/>
      <c r="H6" s="14">
        <f>SUM(Rückstellungen!AQ9:AQ108)</f>
        <v/>
      </c>
      <c r="I6" s="12" t="n"/>
      <c r="K6" s="15">
        <f>SUM('Kunden-Auswertung'!G5:G104)</f>
        <v/>
      </c>
      <c r="L6" s="12" t="n"/>
      <c r="N6" s="16">
        <f>IFERROR(SUM('Kunden-Auswertung'!G5:G104)/SUM('Kunden-Auswertung'!D5:D104),0)</f>
        <v/>
      </c>
      <c r="O6" s="12" t="n"/>
    </row>
    <row r="7" ht="24" customHeight="1">
      <c r="B7" s="17" t="inlineStr">
        <is>
          <t>Ø VERRECHNUNG / MITARBEITER</t>
        </is>
      </c>
      <c r="E7" s="17" t="inlineStr">
        <is>
          <t>PERSONALKOSTENQUOTE</t>
        </is>
      </c>
      <c r="H7" s="17" t="inlineStr">
        <is>
          <t>ABGABEN-/RÜCKSTELLUNGSQUOTE</t>
        </is>
      </c>
      <c r="K7" s="17" t="inlineStr">
        <is>
          <t>Ø DB1 / MITARBEITER</t>
        </is>
      </c>
      <c r="N7" s="17" t="inlineStr">
        <is>
          <t>MITARBEITER IM MINUS (ANZ.)</t>
        </is>
      </c>
    </row>
    <row r="8" ht="20" customHeight="1">
      <c r="B8" s="18">
        <f>IFERROR(SUM('Kunden-Auswertung'!D5:D104)/COUNTA(Stammdaten!C9:C108),0)</f>
        <v/>
      </c>
      <c r="C8" s="19" t="n"/>
      <c r="E8" s="20">
        <f>IFERROR(SUM('Kunden-Auswertung'!E5:E104)/SUM('Kunden-Auswertung'!D5:D104),0)</f>
        <v/>
      </c>
      <c r="F8" s="19" t="n"/>
      <c r="H8" s="20">
        <f>IFERROR(SUM(Rückstellungen!AQ9:AQ108)/SUM('Kunden-Auswertung'!D5:D104),0)</f>
        <v/>
      </c>
      <c r="I8" s="19" t="n"/>
      <c r="K8" s="18">
        <f>IFERROR(SUM('Kunden-Auswertung'!G5:G104)/COUNTA(Stammdaten!C9:C108),0)</f>
        <v/>
      </c>
      <c r="L8" s="19" t="n"/>
      <c r="N8" s="21">
        <f>COUNTIF('Kunden-Auswertung'!G5:G104,"&lt;0")</f>
        <v/>
      </c>
      <c r="O8" s="19" t="n"/>
    </row>
    <row r="9" ht="8" customHeight="1"/>
    <row r="10" ht="20" customHeight="1">
      <c r="B10" s="22" t="inlineStr">
        <is>
          <t>🏆  TOP-PERFORMER — MITARBEITER NACH DB1 (JAHR)</t>
        </is>
      </c>
      <c r="H10" s="23" t="inlineStr">
        <is>
          <t>⚠️  VERLUSTBRINGER — NEGATIVER DB1 IN DER ÜBERLASSUNG</t>
        </is>
      </c>
    </row>
    <row r="11" ht="30" customHeight="1">
      <c r="B11" s="24" t="inlineStr">
        <is>
          <t>Rang</t>
        </is>
      </c>
      <c r="C11" s="24" t="inlineStr">
        <is>
          <t>Mitarbeiter</t>
        </is>
      </c>
      <c r="D11" s="24" t="inlineStr">
        <is>
          <t>Kunde</t>
        </is>
      </c>
      <c r="E11" s="24" t="inlineStr">
        <is>
          <t>DB1 Jahr</t>
        </is>
      </c>
      <c r="F11" s="24" t="inlineStr">
        <is>
          <t>Marge %</t>
        </is>
      </c>
      <c r="H11" s="24" t="inlineStr">
        <is>
          <t>Rang</t>
        </is>
      </c>
      <c r="I11" s="24" t="inlineStr">
        <is>
          <t>Mitarbeiter</t>
        </is>
      </c>
      <c r="J11" s="24" t="inlineStr">
        <is>
          <t>Kunde</t>
        </is>
      </c>
      <c r="K11" s="24" t="inlineStr">
        <is>
          <t>DB1 Jahr</t>
        </is>
      </c>
    </row>
    <row r="12">
      <c r="B12" s="25" t="n">
        <v>1</v>
      </c>
      <c r="C12" s="26">
        <f>IFERROR(INDEX('Kunden-Auswertung'!$C$5:$C$104,MATCH(B12,'Kunden-Auswertung'!$I$5:$I$104,0)),"")</f>
        <v/>
      </c>
      <c r="D12" s="27">
        <f>IFERROR(INDEX('Kunden-Auswertung'!$B$5:$B$104,MATCH(B12,'Kunden-Auswertung'!$I$5:$I$104,0)),"")</f>
        <v/>
      </c>
      <c r="E12" s="28">
        <f>IFERROR(INDEX('Kunden-Auswertung'!$G$5:$G$104,MATCH(B12,'Kunden-Auswertung'!$I$5:$I$104,0)),"")</f>
        <v/>
      </c>
      <c r="F12" s="29">
        <f>IFERROR(INDEX('Kunden-Auswertung'!$H$5:$H$104,MATCH(B12,'Kunden-Auswertung'!$I$5:$I$104,0)),"")</f>
        <v/>
      </c>
      <c r="H12" s="25" t="n">
        <v>1</v>
      </c>
      <c r="I12" s="26">
        <f>IFERROR(INDEX('Kunden-Auswertung'!$C$5:$C$104,MATCH(H12,'Kunden-Auswertung'!$J$5:$J$104,0)),"")</f>
        <v/>
      </c>
      <c r="J12" s="27">
        <f>IFERROR(INDEX('Kunden-Auswertung'!$B$5:$B$104,MATCH(H12,'Kunden-Auswertung'!$J$5:$J$104,0)),"")</f>
        <v/>
      </c>
      <c r="K12" s="30">
        <f>IFERROR(INDEX('Kunden-Auswertung'!$G$5:$G$104,MATCH(H12,'Kunden-Auswertung'!$J$5:$J$104,0)),"")</f>
        <v/>
      </c>
    </row>
    <row r="13">
      <c r="B13" s="31" t="n">
        <v>2</v>
      </c>
      <c r="C13" s="32">
        <f>IFERROR(INDEX('Kunden-Auswertung'!$C$5:$C$104,MATCH(B13,'Kunden-Auswertung'!$I$5:$I$104,0)),"")</f>
        <v/>
      </c>
      <c r="D13" s="33">
        <f>IFERROR(INDEX('Kunden-Auswertung'!$B$5:$B$104,MATCH(B13,'Kunden-Auswertung'!$I$5:$I$104,0)),"")</f>
        <v/>
      </c>
      <c r="E13" s="34">
        <f>IFERROR(INDEX('Kunden-Auswertung'!$G$5:$G$104,MATCH(B13,'Kunden-Auswertung'!$I$5:$I$104,0)),"")</f>
        <v/>
      </c>
      <c r="F13" s="35">
        <f>IFERROR(INDEX('Kunden-Auswertung'!$H$5:$H$104,MATCH(B13,'Kunden-Auswertung'!$I$5:$I$104,0)),"")</f>
        <v/>
      </c>
      <c r="H13" s="31" t="n">
        <v>2</v>
      </c>
      <c r="I13" s="32">
        <f>IFERROR(INDEX('Kunden-Auswertung'!$C$5:$C$104,MATCH(H13,'Kunden-Auswertung'!$J$5:$J$104,0)),"")</f>
        <v/>
      </c>
      <c r="J13" s="33">
        <f>IFERROR(INDEX('Kunden-Auswertung'!$B$5:$B$104,MATCH(H13,'Kunden-Auswertung'!$J$5:$J$104,0)),"")</f>
        <v/>
      </c>
      <c r="K13" s="36">
        <f>IFERROR(INDEX('Kunden-Auswertung'!$G$5:$G$104,MATCH(H13,'Kunden-Auswertung'!$J$5:$J$104,0)),"")</f>
        <v/>
      </c>
    </row>
    <row r="14">
      <c r="B14" s="25" t="n">
        <v>3</v>
      </c>
      <c r="C14" s="26">
        <f>IFERROR(INDEX('Kunden-Auswertung'!$C$5:$C$104,MATCH(B14,'Kunden-Auswertung'!$I$5:$I$104,0)),"")</f>
        <v/>
      </c>
      <c r="D14" s="27">
        <f>IFERROR(INDEX('Kunden-Auswertung'!$B$5:$B$104,MATCH(B14,'Kunden-Auswertung'!$I$5:$I$104,0)),"")</f>
        <v/>
      </c>
      <c r="E14" s="28">
        <f>IFERROR(INDEX('Kunden-Auswertung'!$G$5:$G$104,MATCH(B14,'Kunden-Auswertung'!$I$5:$I$104,0)),"")</f>
        <v/>
      </c>
      <c r="F14" s="29">
        <f>IFERROR(INDEX('Kunden-Auswertung'!$H$5:$H$104,MATCH(B14,'Kunden-Auswertung'!$I$5:$I$104,0)),"")</f>
        <v/>
      </c>
      <c r="H14" s="25" t="n">
        <v>3</v>
      </c>
      <c r="I14" s="26">
        <f>IFERROR(INDEX('Kunden-Auswertung'!$C$5:$C$104,MATCH(H14,'Kunden-Auswertung'!$J$5:$J$104,0)),"")</f>
        <v/>
      </c>
      <c r="J14" s="27">
        <f>IFERROR(INDEX('Kunden-Auswertung'!$B$5:$B$104,MATCH(H14,'Kunden-Auswertung'!$J$5:$J$104,0)),"")</f>
        <v/>
      </c>
      <c r="K14" s="30">
        <f>IFERROR(INDEX('Kunden-Auswertung'!$G$5:$G$104,MATCH(H14,'Kunden-Auswertung'!$J$5:$J$104,0)),"")</f>
        <v/>
      </c>
    </row>
    <row r="15">
      <c r="B15" s="31" t="n">
        <v>4</v>
      </c>
      <c r="C15" s="32">
        <f>IFERROR(INDEX('Kunden-Auswertung'!$C$5:$C$104,MATCH(B15,'Kunden-Auswertung'!$I$5:$I$104,0)),"")</f>
        <v/>
      </c>
      <c r="D15" s="33">
        <f>IFERROR(INDEX('Kunden-Auswertung'!$B$5:$B$104,MATCH(B15,'Kunden-Auswertung'!$I$5:$I$104,0)),"")</f>
        <v/>
      </c>
      <c r="E15" s="34">
        <f>IFERROR(INDEX('Kunden-Auswertung'!$G$5:$G$104,MATCH(B15,'Kunden-Auswertung'!$I$5:$I$104,0)),"")</f>
        <v/>
      </c>
      <c r="F15" s="35">
        <f>IFERROR(INDEX('Kunden-Auswertung'!$H$5:$H$104,MATCH(B15,'Kunden-Auswertung'!$I$5:$I$104,0)),"")</f>
        <v/>
      </c>
      <c r="H15" s="31" t="n">
        <v>4</v>
      </c>
      <c r="I15" s="32">
        <f>IFERROR(INDEX('Kunden-Auswertung'!$C$5:$C$104,MATCH(H15,'Kunden-Auswertung'!$J$5:$J$104,0)),"")</f>
        <v/>
      </c>
      <c r="J15" s="33">
        <f>IFERROR(INDEX('Kunden-Auswertung'!$B$5:$B$104,MATCH(H15,'Kunden-Auswertung'!$J$5:$J$104,0)),"")</f>
        <v/>
      </c>
      <c r="K15" s="36">
        <f>IFERROR(INDEX('Kunden-Auswertung'!$G$5:$G$104,MATCH(H15,'Kunden-Auswertung'!$J$5:$J$104,0)),"")</f>
        <v/>
      </c>
    </row>
    <row r="16">
      <c r="B16" s="25" t="n">
        <v>5</v>
      </c>
      <c r="C16" s="26">
        <f>IFERROR(INDEX('Kunden-Auswertung'!$C$5:$C$104,MATCH(B16,'Kunden-Auswertung'!$I$5:$I$104,0)),"")</f>
        <v/>
      </c>
      <c r="D16" s="27">
        <f>IFERROR(INDEX('Kunden-Auswertung'!$B$5:$B$104,MATCH(B16,'Kunden-Auswertung'!$I$5:$I$104,0)),"")</f>
        <v/>
      </c>
      <c r="E16" s="28">
        <f>IFERROR(INDEX('Kunden-Auswertung'!$G$5:$G$104,MATCH(B16,'Kunden-Auswertung'!$I$5:$I$104,0)),"")</f>
        <v/>
      </c>
      <c r="F16" s="29">
        <f>IFERROR(INDEX('Kunden-Auswertung'!$H$5:$H$104,MATCH(B16,'Kunden-Auswertung'!$I$5:$I$104,0)),"")</f>
        <v/>
      </c>
      <c r="H16" s="25" t="n">
        <v>5</v>
      </c>
      <c r="I16" s="26">
        <f>IFERROR(INDEX('Kunden-Auswertung'!$C$5:$C$104,MATCH(H16,'Kunden-Auswertung'!$J$5:$J$104,0)),"")</f>
        <v/>
      </c>
      <c r="J16" s="27">
        <f>IFERROR(INDEX('Kunden-Auswertung'!$B$5:$B$104,MATCH(H16,'Kunden-Auswertung'!$J$5:$J$104,0)),"")</f>
        <v/>
      </c>
      <c r="K16" s="30">
        <f>IFERROR(INDEX('Kunden-Auswertung'!$G$5:$G$104,MATCH(H16,'Kunden-Auswertung'!$J$5:$J$104,0)),"")</f>
        <v/>
      </c>
    </row>
    <row r="17">
      <c r="B17" s="31" t="n">
        <v>6</v>
      </c>
      <c r="C17" s="32">
        <f>IFERROR(INDEX('Kunden-Auswertung'!$C$5:$C$104,MATCH(B17,'Kunden-Auswertung'!$I$5:$I$104,0)),"")</f>
        <v/>
      </c>
      <c r="D17" s="33">
        <f>IFERROR(INDEX('Kunden-Auswertung'!$B$5:$B$104,MATCH(B17,'Kunden-Auswertung'!$I$5:$I$104,0)),"")</f>
        <v/>
      </c>
      <c r="E17" s="34">
        <f>IFERROR(INDEX('Kunden-Auswertung'!$G$5:$G$104,MATCH(B17,'Kunden-Auswertung'!$I$5:$I$104,0)),"")</f>
        <v/>
      </c>
      <c r="F17" s="35">
        <f>IFERROR(INDEX('Kunden-Auswertung'!$H$5:$H$104,MATCH(B17,'Kunden-Auswertung'!$I$5:$I$104,0)),"")</f>
        <v/>
      </c>
      <c r="H17" s="31" t="n">
        <v>6</v>
      </c>
      <c r="I17" s="32">
        <f>IFERROR(INDEX('Kunden-Auswertung'!$C$5:$C$104,MATCH(H17,'Kunden-Auswertung'!$J$5:$J$104,0)),"")</f>
        <v/>
      </c>
      <c r="J17" s="33">
        <f>IFERROR(INDEX('Kunden-Auswertung'!$B$5:$B$104,MATCH(H17,'Kunden-Auswertung'!$J$5:$J$104,0)),"")</f>
        <v/>
      </c>
      <c r="K17" s="36">
        <f>IFERROR(INDEX('Kunden-Auswertung'!$G$5:$G$104,MATCH(H17,'Kunden-Auswertung'!$J$5:$J$104,0)),"")</f>
        <v/>
      </c>
    </row>
    <row r="18">
      <c r="B18" s="25" t="n">
        <v>7</v>
      </c>
      <c r="C18" s="26">
        <f>IFERROR(INDEX('Kunden-Auswertung'!$C$5:$C$104,MATCH(B18,'Kunden-Auswertung'!$I$5:$I$104,0)),"")</f>
        <v/>
      </c>
      <c r="D18" s="27">
        <f>IFERROR(INDEX('Kunden-Auswertung'!$B$5:$B$104,MATCH(B18,'Kunden-Auswertung'!$I$5:$I$104,0)),"")</f>
        <v/>
      </c>
      <c r="E18" s="28">
        <f>IFERROR(INDEX('Kunden-Auswertung'!$G$5:$G$104,MATCH(B18,'Kunden-Auswertung'!$I$5:$I$104,0)),"")</f>
        <v/>
      </c>
      <c r="F18" s="29">
        <f>IFERROR(INDEX('Kunden-Auswertung'!$H$5:$H$104,MATCH(B18,'Kunden-Auswertung'!$I$5:$I$104,0)),"")</f>
        <v/>
      </c>
      <c r="H18" s="25" t="n">
        <v>7</v>
      </c>
      <c r="I18" s="26">
        <f>IFERROR(INDEX('Kunden-Auswertung'!$C$5:$C$104,MATCH(H18,'Kunden-Auswertung'!$J$5:$J$104,0)),"")</f>
        <v/>
      </c>
      <c r="J18" s="27">
        <f>IFERROR(INDEX('Kunden-Auswertung'!$B$5:$B$104,MATCH(H18,'Kunden-Auswertung'!$J$5:$J$104,0)),"")</f>
        <v/>
      </c>
      <c r="K18" s="30">
        <f>IFERROR(INDEX('Kunden-Auswertung'!$G$5:$G$104,MATCH(H18,'Kunden-Auswertung'!$J$5:$J$104,0)),"")</f>
        <v/>
      </c>
    </row>
    <row r="19">
      <c r="B19" s="31" t="n">
        <v>8</v>
      </c>
      <c r="C19" s="32">
        <f>IFERROR(INDEX('Kunden-Auswertung'!$C$5:$C$104,MATCH(B19,'Kunden-Auswertung'!$I$5:$I$104,0)),"")</f>
        <v/>
      </c>
      <c r="D19" s="33">
        <f>IFERROR(INDEX('Kunden-Auswertung'!$B$5:$B$104,MATCH(B19,'Kunden-Auswertung'!$I$5:$I$104,0)),"")</f>
        <v/>
      </c>
      <c r="E19" s="34">
        <f>IFERROR(INDEX('Kunden-Auswertung'!$G$5:$G$104,MATCH(B19,'Kunden-Auswertung'!$I$5:$I$104,0)),"")</f>
        <v/>
      </c>
      <c r="F19" s="35">
        <f>IFERROR(INDEX('Kunden-Auswertung'!$H$5:$H$104,MATCH(B19,'Kunden-Auswertung'!$I$5:$I$104,0)),"")</f>
        <v/>
      </c>
      <c r="H19" s="31" t="n">
        <v>8</v>
      </c>
      <c r="I19" s="32">
        <f>IFERROR(INDEX('Kunden-Auswertung'!$C$5:$C$104,MATCH(H19,'Kunden-Auswertung'!$J$5:$J$104,0)),"")</f>
        <v/>
      </c>
      <c r="J19" s="33">
        <f>IFERROR(INDEX('Kunden-Auswertung'!$B$5:$B$104,MATCH(H19,'Kunden-Auswertung'!$J$5:$J$104,0)),"")</f>
        <v/>
      </c>
      <c r="K19" s="36">
        <f>IFERROR(INDEX('Kunden-Auswertung'!$G$5:$G$104,MATCH(H19,'Kunden-Auswertung'!$J$5:$J$104,0)),"")</f>
        <v/>
      </c>
    </row>
    <row r="20">
      <c r="B20" s="25" t="n">
        <v>9</v>
      </c>
      <c r="C20" s="26">
        <f>IFERROR(INDEX('Kunden-Auswertung'!$C$5:$C$104,MATCH(B20,'Kunden-Auswertung'!$I$5:$I$104,0)),"")</f>
        <v/>
      </c>
      <c r="D20" s="27">
        <f>IFERROR(INDEX('Kunden-Auswertung'!$B$5:$B$104,MATCH(B20,'Kunden-Auswertung'!$I$5:$I$104,0)),"")</f>
        <v/>
      </c>
      <c r="E20" s="28">
        <f>IFERROR(INDEX('Kunden-Auswertung'!$G$5:$G$104,MATCH(B20,'Kunden-Auswertung'!$I$5:$I$104,0)),"")</f>
        <v/>
      </c>
      <c r="F20" s="29">
        <f>IFERROR(INDEX('Kunden-Auswertung'!$H$5:$H$104,MATCH(B20,'Kunden-Auswertung'!$I$5:$I$104,0)),"")</f>
        <v/>
      </c>
      <c r="H20" s="25" t="n">
        <v>9</v>
      </c>
      <c r="I20" s="26">
        <f>IFERROR(INDEX('Kunden-Auswertung'!$C$5:$C$104,MATCH(H20,'Kunden-Auswertung'!$J$5:$J$104,0)),"")</f>
        <v/>
      </c>
      <c r="J20" s="27">
        <f>IFERROR(INDEX('Kunden-Auswertung'!$B$5:$B$104,MATCH(H20,'Kunden-Auswertung'!$J$5:$J$104,0)),"")</f>
        <v/>
      </c>
      <c r="K20" s="30">
        <f>IFERROR(INDEX('Kunden-Auswertung'!$G$5:$G$104,MATCH(H20,'Kunden-Auswertung'!$J$5:$J$104,0)),"")</f>
        <v/>
      </c>
    </row>
    <row r="21">
      <c r="B21" s="31" t="n">
        <v>10</v>
      </c>
      <c r="C21" s="32">
        <f>IFERROR(INDEX('Kunden-Auswertung'!$C$5:$C$104,MATCH(B21,'Kunden-Auswertung'!$I$5:$I$104,0)),"")</f>
        <v/>
      </c>
      <c r="D21" s="33">
        <f>IFERROR(INDEX('Kunden-Auswertung'!$B$5:$B$104,MATCH(B21,'Kunden-Auswertung'!$I$5:$I$104,0)),"")</f>
        <v/>
      </c>
      <c r="E21" s="34">
        <f>IFERROR(INDEX('Kunden-Auswertung'!$G$5:$G$104,MATCH(B21,'Kunden-Auswertung'!$I$5:$I$104,0)),"")</f>
        <v/>
      </c>
      <c r="F21" s="35">
        <f>IFERROR(INDEX('Kunden-Auswertung'!$H$5:$H$104,MATCH(B21,'Kunden-Auswertung'!$I$5:$I$104,0)),"")</f>
        <v/>
      </c>
      <c r="H21" s="31" t="n">
        <v>10</v>
      </c>
      <c r="I21" s="32">
        <f>IFERROR(INDEX('Kunden-Auswertung'!$C$5:$C$104,MATCH(H21,'Kunden-Auswertung'!$J$5:$J$104,0)),"")</f>
        <v/>
      </c>
      <c r="J21" s="33">
        <f>IFERROR(INDEX('Kunden-Auswertung'!$B$5:$B$104,MATCH(H21,'Kunden-Auswertung'!$J$5:$J$104,0)),"")</f>
        <v/>
      </c>
      <c r="K21" s="36">
        <f>IFERROR(INDEX('Kunden-Auswertung'!$G$5:$G$104,MATCH(H21,'Kunden-Auswertung'!$J$5:$J$104,0)),"")</f>
        <v/>
      </c>
    </row>
    <row r="24" ht="20" customHeight="1">
      <c r="B24" s="22" t="inlineStr">
        <is>
          <t>🏢  KUNDEN-RANKING NACH DB1 (JAHR)</t>
        </is>
      </c>
    </row>
    <row r="25" ht="30" customHeight="1">
      <c r="B25" s="24" t="inlineStr">
        <is>
          <t>Rang</t>
        </is>
      </c>
      <c r="C25" s="24" t="inlineStr">
        <is>
          <t>Kunde</t>
        </is>
      </c>
      <c r="D25" s="37" t="n"/>
      <c r="E25" s="24" t="inlineStr">
        <is>
          <t>Verrechnung Jahr</t>
        </is>
      </c>
      <c r="F25" s="24" t="inlineStr">
        <is>
          <t>DB1 Jahr</t>
        </is>
      </c>
      <c r="G25" s="24" t="inlineStr">
        <is>
          <t>Marge %</t>
        </is>
      </c>
    </row>
    <row r="26">
      <c r="B26" s="25">
        <f>IF('Kunden-Auswertung'!A122="","",'Kunden-Auswertung'!A122)</f>
        <v/>
      </c>
      <c r="C26" s="38">
        <f>'Kunden-Auswertung'!B122</f>
        <v/>
      </c>
      <c r="D26" s="39" t="n"/>
      <c r="E26" s="40">
        <f>'Kunden-Auswertung'!C122</f>
        <v/>
      </c>
      <c r="F26" s="28">
        <f>'Kunden-Auswertung'!D122</f>
        <v/>
      </c>
      <c r="G26" s="29">
        <f>'Kunden-Auswertung'!E122</f>
        <v/>
      </c>
    </row>
    <row r="27">
      <c r="B27" s="31">
        <f>IF('Kunden-Auswertung'!A123="","",'Kunden-Auswertung'!A123)</f>
        <v/>
      </c>
      <c r="C27" s="41">
        <f>'Kunden-Auswertung'!B123</f>
        <v/>
      </c>
      <c r="D27" s="42" t="n"/>
      <c r="E27" s="43">
        <f>'Kunden-Auswertung'!C123</f>
        <v/>
      </c>
      <c r="F27" s="34">
        <f>'Kunden-Auswertung'!D123</f>
        <v/>
      </c>
      <c r="G27" s="35">
        <f>'Kunden-Auswertung'!E123</f>
        <v/>
      </c>
    </row>
    <row r="28">
      <c r="B28" s="25">
        <f>IF('Kunden-Auswertung'!A124="","",'Kunden-Auswertung'!A124)</f>
        <v/>
      </c>
      <c r="C28" s="38">
        <f>'Kunden-Auswertung'!B124</f>
        <v/>
      </c>
      <c r="D28" s="39" t="n"/>
      <c r="E28" s="40">
        <f>'Kunden-Auswertung'!C124</f>
        <v/>
      </c>
      <c r="F28" s="28">
        <f>'Kunden-Auswertung'!D124</f>
        <v/>
      </c>
      <c r="G28" s="29">
        <f>'Kunden-Auswertung'!E124</f>
        <v/>
      </c>
    </row>
    <row r="29">
      <c r="B29" s="31">
        <f>IF('Kunden-Auswertung'!A125="","",'Kunden-Auswertung'!A125)</f>
        <v/>
      </c>
      <c r="C29" s="41">
        <f>'Kunden-Auswertung'!B125</f>
        <v/>
      </c>
      <c r="D29" s="42" t="n"/>
      <c r="E29" s="43">
        <f>'Kunden-Auswertung'!C125</f>
        <v/>
      </c>
      <c r="F29" s="34">
        <f>'Kunden-Auswertung'!D125</f>
        <v/>
      </c>
      <c r="G29" s="35">
        <f>'Kunden-Auswertung'!E125</f>
        <v/>
      </c>
    </row>
    <row r="30">
      <c r="B30" s="25">
        <f>IF('Kunden-Auswertung'!A126="","",'Kunden-Auswertung'!A126)</f>
        <v/>
      </c>
      <c r="C30" s="38">
        <f>'Kunden-Auswertung'!B126</f>
        <v/>
      </c>
      <c r="D30" s="39" t="n"/>
      <c r="E30" s="40">
        <f>'Kunden-Auswertung'!C126</f>
        <v/>
      </c>
      <c r="F30" s="28">
        <f>'Kunden-Auswertung'!D126</f>
        <v/>
      </c>
      <c r="G30" s="29">
        <f>'Kunden-Auswertung'!E126</f>
        <v/>
      </c>
    </row>
    <row r="31">
      <c r="B31" s="31">
        <f>IF('Kunden-Auswertung'!A127="","",'Kunden-Auswertung'!A127)</f>
        <v/>
      </c>
      <c r="C31" s="41">
        <f>'Kunden-Auswertung'!B127</f>
        <v/>
      </c>
      <c r="D31" s="42" t="n"/>
      <c r="E31" s="43">
        <f>'Kunden-Auswertung'!C127</f>
        <v/>
      </c>
      <c r="F31" s="34">
        <f>'Kunden-Auswertung'!D127</f>
        <v/>
      </c>
      <c r="G31" s="35">
        <f>'Kunden-Auswertung'!E127</f>
        <v/>
      </c>
    </row>
    <row r="32">
      <c r="B32" s="25">
        <f>IF('Kunden-Auswertung'!A128="","",'Kunden-Auswertung'!A128)</f>
        <v/>
      </c>
      <c r="C32" s="38">
        <f>'Kunden-Auswertung'!B128</f>
        <v/>
      </c>
      <c r="D32" s="39" t="n"/>
      <c r="E32" s="40">
        <f>'Kunden-Auswertung'!C128</f>
        <v/>
      </c>
      <c r="F32" s="28">
        <f>'Kunden-Auswertung'!D128</f>
        <v/>
      </c>
      <c r="G32" s="29">
        <f>'Kunden-Auswertung'!E128</f>
        <v/>
      </c>
    </row>
    <row r="33">
      <c r="B33" s="31">
        <f>IF('Kunden-Auswertung'!A129="","",'Kunden-Auswertung'!A129)</f>
        <v/>
      </c>
      <c r="C33" s="41">
        <f>'Kunden-Auswertung'!B129</f>
        <v/>
      </c>
      <c r="D33" s="42" t="n"/>
      <c r="E33" s="43">
        <f>'Kunden-Auswertung'!C129</f>
        <v/>
      </c>
      <c r="F33" s="34">
        <f>'Kunden-Auswertung'!D129</f>
        <v/>
      </c>
      <c r="G33" s="35">
        <f>'Kunden-Auswertung'!E129</f>
        <v/>
      </c>
    </row>
    <row r="34">
      <c r="B34" s="25">
        <f>IF('Kunden-Auswertung'!A130="","",'Kunden-Auswertung'!A130)</f>
        <v/>
      </c>
      <c r="C34" s="38">
        <f>'Kunden-Auswertung'!B130</f>
        <v/>
      </c>
      <c r="D34" s="39" t="n"/>
      <c r="E34" s="40">
        <f>'Kunden-Auswertung'!C130</f>
        <v/>
      </c>
      <c r="F34" s="28">
        <f>'Kunden-Auswertung'!D130</f>
        <v/>
      </c>
      <c r="G34" s="29">
        <f>'Kunden-Auswertung'!E130</f>
        <v/>
      </c>
    </row>
    <row r="35">
      <c r="B35" s="31">
        <f>IF('Kunden-Auswertung'!A131="","",'Kunden-Auswertung'!A131)</f>
        <v/>
      </c>
      <c r="C35" s="41">
        <f>'Kunden-Auswertung'!B131</f>
        <v/>
      </c>
      <c r="D35" s="42" t="n"/>
      <c r="E35" s="43">
        <f>'Kunden-Auswertung'!C131</f>
        <v/>
      </c>
      <c r="F35" s="34">
        <f>'Kunden-Auswertung'!D131</f>
        <v/>
      </c>
      <c r="G35" s="35">
        <f>'Kunden-Auswertung'!E131</f>
        <v/>
      </c>
    </row>
    <row r="37" ht="14" customHeight="1">
      <c r="B37" s="44" t="inlineStr">
        <is>
          <t>Hinweis: Kunden- und Mitarbeiternamen in 'Stammdaten' pflegen. Verrechnung &amp; Selbstkosten monatlich in den jeweiligen Blättern eintragen — Rückstellungen und DB1 werden automatisch berechnet.</t>
        </is>
      </c>
    </row>
    <row r="58" ht="20" customHeight="1">
      <c r="B58" s="22" t="inlineStr">
        <is>
          <t>📈  MONATSENTWICKLUNG — UMSATZ, SELBSTKOSTEN, RÜCKSTELLUNGEN &amp; DB1</t>
        </is>
      </c>
    </row>
  </sheetData>
  <mergeCells count="38">
    <mergeCell ref="C34:D34"/>
    <mergeCell ref="C30:D30"/>
    <mergeCell ref="B7:C7"/>
    <mergeCell ref="N7:O7"/>
    <mergeCell ref="C33:D33"/>
    <mergeCell ref="E5:F5"/>
    <mergeCell ref="K5:L5"/>
    <mergeCell ref="B24:K24"/>
    <mergeCell ref="C26:D26"/>
    <mergeCell ref="E8:F8"/>
    <mergeCell ref="C35:D35"/>
    <mergeCell ref="C29:D29"/>
    <mergeCell ref="A2:O2"/>
    <mergeCell ref="H6:I6"/>
    <mergeCell ref="C25:D25"/>
    <mergeCell ref="N5:O5"/>
    <mergeCell ref="C31:D31"/>
    <mergeCell ref="B8:C8"/>
    <mergeCell ref="N8:O8"/>
    <mergeCell ref="H10:K10"/>
    <mergeCell ref="E6:F6"/>
    <mergeCell ref="K8:L8"/>
    <mergeCell ref="H7:I7"/>
    <mergeCell ref="B10:F10"/>
    <mergeCell ref="C27:D27"/>
    <mergeCell ref="B58:K58"/>
    <mergeCell ref="B6:C6"/>
    <mergeCell ref="K7:L7"/>
    <mergeCell ref="C32:D32"/>
    <mergeCell ref="E7:F7"/>
    <mergeCell ref="B5:C5"/>
    <mergeCell ref="N6:O6"/>
    <mergeCell ref="A1:O1"/>
    <mergeCell ref="C28:D28"/>
    <mergeCell ref="H5:I5"/>
    <mergeCell ref="H8:I8"/>
    <mergeCell ref="K6:L6"/>
    <mergeCell ref="B37:K37"/>
  </mergeCells>
  <conditionalFormatting sqref="E12:E21">
    <cfRule type="dataBar" priority="1">
      <dataBar showValue="1">
        <cfvo type="min"/>
        <cfvo type="max"/>
        <color rgb="002E7D46"/>
      </dataBar>
    </cfRule>
  </conditionalFormatting>
  <conditionalFormatting sqref="K12:K21">
    <cfRule type="cellIs" priority="2" operator="lessThan" dxfId="0">
      <formula>0</formula>
    </cfRule>
  </conditionalFormatting>
  <conditionalFormatting sqref="F26:F35">
    <cfRule type="colorScale" priority="3">
      <colorScale>
        <cfvo type="min"/>
        <cfvo type="percentile" val="50"/>
        <cfvo type="max"/>
        <color rgb="00F2B6A5"/>
        <color rgb="00FBEBC2"/>
        <color rgb="00A9D3B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A4423"/>
    <outlinePr summaryBelow="1" summaryRight="1"/>
    <pageSetUpPr/>
  </sheetPr>
  <dimension ref="A1:L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KALKULATION — Payroll &amp; Überlassung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Preiskalkulation je Rolle/Einsatz · Basis: WIFI NÖ Kalkulationsschema Arbeitskräfteüberlassung 2023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6" customHeight="1"/>
    <row r="4" ht="14" customHeight="1">
      <c r="A4" s="45" t="inlineStr">
        <is>
          <t xml:space="preserve"> Eingabefeld</t>
        </is>
      </c>
      <c r="D4" s="46" t="inlineStr">
        <is>
          <t xml:space="preserve"> Formel (auto-berechnet)</t>
        </is>
      </c>
    </row>
    <row r="6" ht="20" customHeight="1">
      <c r="A6" s="22" t="inlineStr">
        <is>
          <t>LNK-SÄTZE (DIENSTGEBERABGABEN) — GEMEINSAME BASIS</t>
        </is>
      </c>
    </row>
    <row r="7">
      <c r="A7" s="47" t="inlineStr">
        <is>
          <t>Pensionsversicherung DG-Anteil</t>
        </is>
      </c>
      <c r="C7" s="48" t="n">
        <v>0.1255</v>
      </c>
    </row>
    <row r="8">
      <c r="A8" s="47" t="inlineStr">
        <is>
          <t>Krankenversicherung DG-Anteil</t>
        </is>
      </c>
      <c r="C8" s="48" t="n">
        <v>0.0378</v>
      </c>
    </row>
    <row r="9">
      <c r="A9" s="47" t="inlineStr">
        <is>
          <t>Unfallversicherung</t>
        </is>
      </c>
      <c r="C9" s="48" t="n">
        <v>0.011</v>
      </c>
    </row>
    <row r="10">
      <c r="A10" s="47" t="inlineStr">
        <is>
          <t>Arbeitslosenversicherung DG-Anteil</t>
        </is>
      </c>
      <c r="C10" s="48" t="n">
        <v>0.03</v>
      </c>
    </row>
    <row r="11">
      <c r="A11" s="47" t="inlineStr">
        <is>
          <t>IESG-Zuschlag</t>
        </is>
      </c>
      <c r="C11" s="48" t="n">
        <v>0.001</v>
      </c>
    </row>
    <row r="12">
      <c r="A12" s="47" t="inlineStr">
        <is>
          <t>Wohnbauförderungsbeitrag (WBF)</t>
        </is>
      </c>
      <c r="C12" s="48" t="n">
        <v>0.005</v>
      </c>
    </row>
    <row r="13">
      <c r="A13" s="49" t="inlineStr">
        <is>
          <t>Sozialversicherung ÖGK GESAMT</t>
        </is>
      </c>
      <c r="B13" s="50" t="n"/>
      <c r="C13" s="51">
        <f>SUM(C7:C12)</f>
        <v/>
      </c>
    </row>
    <row r="14">
      <c r="A14" s="47" t="inlineStr">
        <is>
          <t>Sozial-/Weiterbildungsfonds (SWF)</t>
        </is>
      </c>
      <c r="C14" s="48" t="n">
        <v>0.0035</v>
      </c>
    </row>
    <row r="15">
      <c r="A15" s="47" t="inlineStr">
        <is>
          <t>Mitarbeitervorsorge (MVK/BV-Beitrag)</t>
        </is>
      </c>
      <c r="C15" s="48" t="n">
        <v>0.0153</v>
      </c>
    </row>
    <row r="16">
      <c r="A16" s="47" t="inlineStr">
        <is>
          <t>Dienstgeberbeitrag zum FLAG (DB)</t>
        </is>
      </c>
      <c r="C16" s="48" t="n">
        <v>0.037</v>
      </c>
    </row>
    <row r="17">
      <c r="A17" s="47" t="inlineStr">
        <is>
          <t>Zuschlag zum DB (DZ) — Bundesland wählen</t>
        </is>
      </c>
      <c r="C17" s="48" t="n">
        <v>0.0038</v>
      </c>
    </row>
    <row r="18">
      <c r="A18" s="47" t="inlineStr">
        <is>
          <t>Kommunalsteuer</t>
        </is>
      </c>
      <c r="C18" s="48" t="n">
        <v>0.03</v>
      </c>
    </row>
    <row r="19">
      <c r="A19" s="49" t="inlineStr">
        <is>
          <t>DG-ABGABEN GESAMT (SV + SWF + MVK + DB/DZ + KommSt)</t>
        </is>
      </c>
      <c r="B19" s="50" t="n"/>
      <c r="C19" s="51">
        <f>C13+C14+C15+C16+C17+C18</f>
        <v/>
      </c>
    </row>
    <row r="20">
      <c r="A20" s="52" t="inlineStr">
        <is>
          <t>DG-Abgaben OHNE Wohnbauförderungsbeitrag</t>
        </is>
      </c>
      <c r="C20" s="53">
        <f>C19-C12</f>
        <v/>
      </c>
    </row>
    <row r="21" ht="8" customHeight="1"/>
    <row r="22" ht="20" customHeight="1">
      <c r="A22" s="54" t="inlineStr">
        <is>
          <t>PAYROLL-KALKULATION — ANGESTELLTE, PAUSCHALE 12×/JAHR</t>
        </is>
      </c>
    </row>
    <row r="23">
      <c r="A23" s="47" t="inlineStr">
        <is>
          <t>Urlaubszuschuss (Payroll)</t>
        </is>
      </c>
      <c r="C23" s="48" t="n">
        <v>0.0833</v>
      </c>
    </row>
    <row r="24">
      <c r="A24" s="47" t="inlineStr">
        <is>
          <t>Weihnachtsremuneration (Payroll)</t>
        </is>
      </c>
      <c r="C24" s="48" t="n">
        <v>0.0833</v>
      </c>
    </row>
    <row r="25">
      <c r="A25" s="49" t="inlineStr">
        <is>
          <t>Sonderzahlungen GESAMT (Payroll)</t>
        </is>
      </c>
      <c r="B25" s="50" t="n"/>
      <c r="C25" s="51">
        <f>SUM(C23:C24)</f>
        <v/>
      </c>
    </row>
    <row r="26">
      <c r="A26" s="47" t="inlineStr">
        <is>
          <t>Invalidenausgleichstaxe (Payroll)</t>
        </is>
      </c>
      <c r="C26" s="48" t="n">
        <v>0.0069</v>
      </c>
    </row>
    <row r="27">
      <c r="A27" s="49" t="inlineStr">
        <is>
          <t>PAYROLL-AUFSCHLAG GESAMT (%)</t>
        </is>
      </c>
      <c r="B27" s="50" t="n"/>
      <c r="C27" s="51">
        <f>C19+C25+C25*C20+C26</f>
        <v/>
      </c>
    </row>
    <row r="28" ht="18" customHeight="1">
      <c r="A28" s="52" t="inlineStr">
        <is>
          <t>PAYROLL-FAKTOR GESAMT (auf Grundlohn)</t>
        </is>
      </c>
      <c r="C28" s="55">
        <f>1+C27</f>
        <v/>
      </c>
    </row>
    <row r="29" ht="8" customHeight="1"/>
    <row r="30" ht="30" customHeight="1">
      <c r="A30" s="56" t="inlineStr">
        <is>
          <t>Rolle / Bezeichnung</t>
        </is>
      </c>
      <c r="B30" s="56" t="inlineStr">
        <is>
          <t>Bruttogehalt
(Eingabe)</t>
        </is>
      </c>
      <c r="C30" s="56" t="inlineStr">
        <is>
          <t>DG-Abgaben
€</t>
        </is>
      </c>
      <c r="D30" s="56" t="inlineStr">
        <is>
          <t>Sonderzahlungen
€</t>
        </is>
      </c>
      <c r="E30" s="56" t="inlineStr">
        <is>
          <t>DG auf SZ
€</t>
        </is>
      </c>
      <c r="F30" s="56" t="inlineStr">
        <is>
          <t>Invaliden-
ausgleichstaxe €</t>
        </is>
      </c>
      <c r="G30" s="56" t="inlineStr">
        <is>
          <t>Payroll-Selbstkosten
GESAMT €</t>
        </is>
      </c>
      <c r="H30" s="56" t="inlineStr">
        <is>
          <t>Faktor</t>
        </is>
      </c>
      <c r="I30" s="56" t="inlineStr">
        <is>
          <t>Aufschlag/Monat
(Eingabe) €</t>
        </is>
      </c>
      <c r="J30" s="56" t="inlineStr">
        <is>
          <t>Verkaufspreis
/Monat €</t>
        </is>
      </c>
      <c r="K30" s="56" t="inlineStr">
        <is>
          <t>DB1
€</t>
        </is>
      </c>
      <c r="L30" s="56" t="inlineStr">
        <is>
          <t>Verkaufsfaktor
(Verkaufspreis/Lohn)</t>
        </is>
      </c>
    </row>
    <row r="31">
      <c r="A31" s="57" t="n"/>
      <c r="B31" s="58" t="n"/>
      <c r="C31" s="40">
        <f>B31*$C$19</f>
        <v/>
      </c>
      <c r="D31" s="40">
        <f>B31*$C$25</f>
        <v/>
      </c>
      <c r="E31" s="40">
        <f>D31*$C$20</f>
        <v/>
      </c>
      <c r="F31" s="40">
        <f>B31*$C$26</f>
        <v/>
      </c>
      <c r="G31" s="59">
        <f>B31+C31+D31+E31+F31</f>
        <v/>
      </c>
      <c r="H31" s="60">
        <f>IFERROR(G31/B31,"")</f>
        <v/>
      </c>
      <c r="I31" s="58" t="n"/>
      <c r="J31" s="28">
        <f>IF(I31="","",G31+I31)</f>
        <v/>
      </c>
      <c r="K31" s="28">
        <f>IF(J31="","",J31-G31)</f>
        <v/>
      </c>
      <c r="L31" s="60">
        <f>IFERROR(J31/B31,"")</f>
        <v/>
      </c>
    </row>
    <row r="32">
      <c r="A32" s="61" t="n"/>
      <c r="B32" s="62" t="n"/>
      <c r="C32" s="43">
        <f>B32*$C$19</f>
        <v/>
      </c>
      <c r="D32" s="43">
        <f>B32*$C$25</f>
        <v/>
      </c>
      <c r="E32" s="43">
        <f>D32*$C$20</f>
        <v/>
      </c>
      <c r="F32" s="43">
        <f>B32*$C$26</f>
        <v/>
      </c>
      <c r="G32" s="34">
        <f>B32+C32+D32+E32+F32</f>
        <v/>
      </c>
      <c r="H32" s="63">
        <f>IFERROR(G32/B32,"")</f>
        <v/>
      </c>
      <c r="I32" s="62" t="n"/>
      <c r="J32" s="34">
        <f>IF(I32="","",G32+I32)</f>
        <v/>
      </c>
      <c r="K32" s="34">
        <f>IF(J32="","",J32-G32)</f>
        <v/>
      </c>
      <c r="L32" s="63">
        <f>IFERROR(J32/B32,"")</f>
        <v/>
      </c>
    </row>
    <row r="33">
      <c r="A33" s="57" t="n"/>
      <c r="B33" s="58" t="n"/>
      <c r="C33" s="40">
        <f>B33*$C$19</f>
        <v/>
      </c>
      <c r="D33" s="40">
        <f>B33*$C$25</f>
        <v/>
      </c>
      <c r="E33" s="40">
        <f>D33*$C$20</f>
        <v/>
      </c>
      <c r="F33" s="40">
        <f>B33*$C$26</f>
        <v/>
      </c>
      <c r="G33" s="59">
        <f>B33+C33+D33+E33+F33</f>
        <v/>
      </c>
      <c r="H33" s="60">
        <f>IFERROR(G33/B33,"")</f>
        <v/>
      </c>
      <c r="I33" s="58" t="n"/>
      <c r="J33" s="28">
        <f>IF(I33="","",G33+I33)</f>
        <v/>
      </c>
      <c r="K33" s="28">
        <f>IF(J33="","",J33-G33)</f>
        <v/>
      </c>
      <c r="L33" s="60">
        <f>IFERROR(J33/B33,"")</f>
        <v/>
      </c>
    </row>
    <row r="34">
      <c r="A34" s="61" t="n"/>
      <c r="B34" s="62" t="n"/>
      <c r="C34" s="43">
        <f>B34*$C$19</f>
        <v/>
      </c>
      <c r="D34" s="43">
        <f>B34*$C$25</f>
        <v/>
      </c>
      <c r="E34" s="43">
        <f>D34*$C$20</f>
        <v/>
      </c>
      <c r="F34" s="43">
        <f>B34*$C$26</f>
        <v/>
      </c>
      <c r="G34" s="34">
        <f>B34+C34+D34+E34+F34</f>
        <v/>
      </c>
      <c r="H34" s="63">
        <f>IFERROR(G34/B34,"")</f>
        <v/>
      </c>
      <c r="I34" s="62" t="n"/>
      <c r="J34" s="34">
        <f>IF(I34="","",G34+I34)</f>
        <v/>
      </c>
      <c r="K34" s="34">
        <f>IF(J34="","",J34-G34)</f>
        <v/>
      </c>
      <c r="L34" s="63">
        <f>IFERROR(J34/B34,"")</f>
        <v/>
      </c>
    </row>
    <row r="35">
      <c r="A35" s="57" t="n"/>
      <c r="B35" s="58" t="n"/>
      <c r="C35" s="40">
        <f>B35*$C$19</f>
        <v/>
      </c>
      <c r="D35" s="40">
        <f>B35*$C$25</f>
        <v/>
      </c>
      <c r="E35" s="40">
        <f>D35*$C$20</f>
        <v/>
      </c>
      <c r="F35" s="40">
        <f>B35*$C$26</f>
        <v/>
      </c>
      <c r="G35" s="59">
        <f>B35+C35+D35+E35+F35</f>
        <v/>
      </c>
      <c r="H35" s="60">
        <f>IFERROR(G35/B35,"")</f>
        <v/>
      </c>
      <c r="I35" s="58" t="n"/>
      <c r="J35" s="28">
        <f>IF(I35="","",G35+I35)</f>
        <v/>
      </c>
      <c r="K35" s="28">
        <f>IF(J35="","",J35-G35)</f>
        <v/>
      </c>
      <c r="L35" s="60">
        <f>IFERROR(J35/B35,"")</f>
        <v/>
      </c>
    </row>
    <row r="36">
      <c r="A36" s="61" t="n"/>
      <c r="B36" s="62" t="n"/>
      <c r="C36" s="43">
        <f>B36*$C$19</f>
        <v/>
      </c>
      <c r="D36" s="43">
        <f>B36*$C$25</f>
        <v/>
      </c>
      <c r="E36" s="43">
        <f>D36*$C$20</f>
        <v/>
      </c>
      <c r="F36" s="43">
        <f>B36*$C$26</f>
        <v/>
      </c>
      <c r="G36" s="34">
        <f>B36+C36+D36+E36+F36</f>
        <v/>
      </c>
      <c r="H36" s="63">
        <f>IFERROR(G36/B36,"")</f>
        <v/>
      </c>
      <c r="I36" s="62" t="n"/>
      <c r="J36" s="34">
        <f>IF(I36="","",G36+I36)</f>
        <v/>
      </c>
      <c r="K36" s="34">
        <f>IF(J36="","",J36-G36)</f>
        <v/>
      </c>
      <c r="L36" s="63">
        <f>IFERROR(J36/B36,"")</f>
        <v/>
      </c>
    </row>
    <row r="37" ht="8" customHeight="1"/>
    <row r="38" ht="20" customHeight="1">
      <c r="A38" s="23" t="inlineStr">
        <is>
          <t>ÜBERLASSUNGSKALKULATION — ZEITARBEIT, PRO LEISTUNGSSTUNDE</t>
        </is>
      </c>
    </row>
    <row r="39">
      <c r="A39" s="47" t="inlineStr">
        <is>
          <t>Urlaub (bezahlte Abwesenheit)</t>
        </is>
      </c>
      <c r="C39" s="48" t="n">
        <v>0.125</v>
      </c>
    </row>
    <row r="40">
      <c r="A40" s="47" t="inlineStr">
        <is>
          <t>Feiertage</t>
        </is>
      </c>
      <c r="C40" s="48" t="n">
        <v>0.06</v>
      </c>
    </row>
    <row r="41">
      <c r="A41" s="47" t="inlineStr">
        <is>
          <t>Krankheit</t>
        </is>
      </c>
      <c r="C41" s="48" t="n">
        <v>0.08</v>
      </c>
    </row>
    <row r="42">
      <c r="A42" s="47" t="inlineStr">
        <is>
          <t>Sonstige (Arzt, Pflege ...)</t>
        </is>
      </c>
      <c r="C42" s="48" t="n">
        <v>0.01</v>
      </c>
    </row>
    <row r="43">
      <c r="A43" s="47" t="inlineStr">
        <is>
          <t>Kündigungsfristen / Stehzeiten</t>
        </is>
      </c>
      <c r="C43" s="48" t="n">
        <v>0.02</v>
      </c>
    </row>
    <row r="44">
      <c r="A44" s="47" t="inlineStr">
        <is>
          <t>Freiwillige / KV-Feiertage</t>
        </is>
      </c>
      <c r="C44" s="48" t="n">
        <v>0.005</v>
      </c>
    </row>
    <row r="45">
      <c r="A45" s="49" t="inlineStr">
        <is>
          <t>BEZAHLTE ABWESENHEITEN GESAMT</t>
        </is>
      </c>
      <c r="B45" s="50" t="n"/>
      <c r="C45" s="51">
        <f>SUM(C39:C44)</f>
        <v/>
      </c>
    </row>
    <row r="46">
      <c r="A46" s="47" t="inlineStr">
        <is>
          <t>Urlaubszuschuss (Überlassung, 4,33 Wochen-Basis)</t>
        </is>
      </c>
      <c r="C46" s="48" t="n">
        <v>0.1082</v>
      </c>
    </row>
    <row r="47">
      <c r="A47" s="47" t="inlineStr">
        <is>
          <t>Weihnachtsremuneration (Überlassung, 4,33 Wochen-Basis)</t>
        </is>
      </c>
      <c r="C47" s="48" t="n">
        <v>0.1082</v>
      </c>
    </row>
    <row r="48">
      <c r="A48" s="49" t="inlineStr">
        <is>
          <t>SONDERZAHLUNGEN GESAMT (Überlassung)</t>
        </is>
      </c>
      <c r="B48" s="50" t="n"/>
      <c r="C48" s="51">
        <f>SUM(C46:C47)</f>
        <v/>
      </c>
    </row>
    <row r="49">
      <c r="A49" s="47" t="inlineStr">
        <is>
          <t>Invalidenausgleichstaxe (Überlassung)</t>
        </is>
      </c>
      <c r="C49" s="48" t="n">
        <v>0.0095</v>
      </c>
    </row>
    <row r="50">
      <c r="A50" s="49" t="inlineStr">
        <is>
          <t>ÜBERLASSUNGS-AUFSCHLAG GESAMT (%)</t>
        </is>
      </c>
      <c r="B50" s="50" t="n"/>
      <c r="C50" s="51">
        <f>C19+C45+C45*C19+C48+C48*C19+C49</f>
        <v/>
      </c>
    </row>
    <row r="51" ht="18" customHeight="1">
      <c r="A51" s="52" t="inlineStr">
        <is>
          <t>ÜBERLASSUNGS-FAKTOR GESAMT (auf Stundenlohn)</t>
        </is>
      </c>
      <c r="C51" s="55">
        <f>1+C50</f>
        <v/>
      </c>
    </row>
    <row r="52" ht="8" customHeight="1"/>
    <row r="53" ht="30" customHeight="1">
      <c r="A53" s="64" t="inlineStr">
        <is>
          <t>Rolle / Bezeichnung</t>
        </is>
      </c>
      <c r="B53" s="64" t="inlineStr">
        <is>
          <t>Stundenlohn
(Eingabe)</t>
        </is>
      </c>
      <c r="C53" s="64" t="inlineStr">
        <is>
          <t>DG-Abgaben
€</t>
        </is>
      </c>
      <c r="D53" s="64" t="inlineStr">
        <is>
          <t>Bez. Abwesenheiten
€</t>
        </is>
      </c>
      <c r="E53" s="64" t="inlineStr">
        <is>
          <t>DG auf
Abwesenh. €</t>
        </is>
      </c>
      <c r="F53" s="64" t="inlineStr">
        <is>
          <t>Sonderzahlungen
€</t>
        </is>
      </c>
      <c r="G53" s="64" t="inlineStr">
        <is>
          <t>DG auf SZ
€</t>
        </is>
      </c>
      <c r="H53" s="64" t="inlineStr">
        <is>
          <t>Invaliden-
ausgl.taxe €</t>
        </is>
      </c>
      <c r="I53" s="64" t="inlineStr">
        <is>
          <t>Kalkulation pro
Leistungsstunde €</t>
        </is>
      </c>
    </row>
    <row r="54">
      <c r="A54" s="57" t="n"/>
      <c r="B54" s="58" t="n"/>
      <c r="C54" s="40">
        <f>B54*$C$19</f>
        <v/>
      </c>
      <c r="D54" s="40">
        <f>B54*$C$45</f>
        <v/>
      </c>
      <c r="E54" s="40">
        <f>D54*$C$19</f>
        <v/>
      </c>
      <c r="F54" s="40">
        <f>B54*$C$48</f>
        <v/>
      </c>
      <c r="G54" s="40">
        <f>F54*$C$19</f>
        <v/>
      </c>
      <c r="H54" s="40">
        <f>B54*$C$49</f>
        <v/>
      </c>
      <c r="I54" s="59">
        <f>B54+C54+D54+E54+F54+G54+H54</f>
        <v/>
      </c>
    </row>
    <row r="55">
      <c r="A55" s="61" t="n"/>
      <c r="B55" s="62" t="n"/>
      <c r="C55" s="43">
        <f>B55*$C$19</f>
        <v/>
      </c>
      <c r="D55" s="43">
        <f>B55*$C$45</f>
        <v/>
      </c>
      <c r="E55" s="43">
        <f>D55*$C$19</f>
        <v/>
      </c>
      <c r="F55" s="43">
        <f>B55*$C$48</f>
        <v/>
      </c>
      <c r="G55" s="43">
        <f>F55*$C$19</f>
        <v/>
      </c>
      <c r="H55" s="43">
        <f>B55*$C$49</f>
        <v/>
      </c>
      <c r="I55" s="34">
        <f>B55+C55+D55+E55+F55+G55+H55</f>
        <v/>
      </c>
    </row>
    <row r="56">
      <c r="A56" s="57" t="n"/>
      <c r="B56" s="58" t="n"/>
      <c r="C56" s="40">
        <f>B56*$C$19</f>
        <v/>
      </c>
      <c r="D56" s="40">
        <f>B56*$C$45</f>
        <v/>
      </c>
      <c r="E56" s="40">
        <f>D56*$C$19</f>
        <v/>
      </c>
      <c r="F56" s="40">
        <f>B56*$C$48</f>
        <v/>
      </c>
      <c r="G56" s="40">
        <f>F56*$C$19</f>
        <v/>
      </c>
      <c r="H56" s="40">
        <f>B56*$C$49</f>
        <v/>
      </c>
      <c r="I56" s="59">
        <f>B56+C56+D56+E56+F56+G56+H56</f>
        <v/>
      </c>
    </row>
    <row r="57">
      <c r="A57" s="61" t="n"/>
      <c r="B57" s="62" t="n"/>
      <c r="C57" s="43">
        <f>B57*$C$19</f>
        <v/>
      </c>
      <c r="D57" s="43">
        <f>B57*$C$45</f>
        <v/>
      </c>
      <c r="E57" s="43">
        <f>D57*$C$19</f>
        <v/>
      </c>
      <c r="F57" s="43">
        <f>B57*$C$48</f>
        <v/>
      </c>
      <c r="G57" s="43">
        <f>F57*$C$19</f>
        <v/>
      </c>
      <c r="H57" s="43">
        <f>B57*$C$49</f>
        <v/>
      </c>
      <c r="I57" s="34">
        <f>B57+C57+D57+E57+F57+G57+H57</f>
        <v/>
      </c>
    </row>
    <row r="58">
      <c r="A58" s="57" t="n"/>
      <c r="B58" s="58" t="n"/>
      <c r="C58" s="40">
        <f>B58*$C$19</f>
        <v/>
      </c>
      <c r="D58" s="40">
        <f>B58*$C$45</f>
        <v/>
      </c>
      <c r="E58" s="40">
        <f>D58*$C$19</f>
        <v/>
      </c>
      <c r="F58" s="40">
        <f>B58*$C$48</f>
        <v/>
      </c>
      <c r="G58" s="40">
        <f>F58*$C$19</f>
        <v/>
      </c>
      <c r="H58" s="40">
        <f>B58*$C$49</f>
        <v/>
      </c>
      <c r="I58" s="59">
        <f>B58+C58+D58+E58+F58+G58+H58</f>
        <v/>
      </c>
    </row>
    <row r="59">
      <c r="A59" s="61" t="n"/>
      <c r="B59" s="62" t="n"/>
      <c r="C59" s="43">
        <f>B59*$C$19</f>
        <v/>
      </c>
      <c r="D59" s="43">
        <f>B59*$C$45</f>
        <v/>
      </c>
      <c r="E59" s="43">
        <f>D59*$C$19</f>
        <v/>
      </c>
      <c r="F59" s="43">
        <f>B59*$C$48</f>
        <v/>
      </c>
      <c r="G59" s="43">
        <f>F59*$C$19</f>
        <v/>
      </c>
      <c r="H59" s="43">
        <f>B59*$C$49</f>
        <v/>
      </c>
      <c r="I59" s="34">
        <f>B59+C59+D59+E59+F59+G59+H59</f>
        <v/>
      </c>
    </row>
    <row r="60" ht="8" customHeight="1"/>
    <row r="61" ht="20" customHeight="1">
      <c r="A61" s="65" t="inlineStr">
        <is>
          <t>VERRECHNUNGSSATZ &amp; DB1 — PRO LEISTUNGSSTUNDE</t>
        </is>
      </c>
    </row>
    <row r="62" ht="30" customHeight="1">
      <c r="A62" s="66" t="inlineStr">
        <is>
          <t>Rolle / Bezeichnung</t>
        </is>
      </c>
      <c r="B62" s="66" t="inlineStr">
        <is>
          <t>Kalkulation pro
Leistungsstunde €</t>
        </is>
      </c>
      <c r="C62" s="66" t="inlineStr">
        <is>
          <t>Verrechnungssatz
an Kunde (Eingabe) €</t>
        </is>
      </c>
      <c r="D62" s="66" t="inlineStr">
        <is>
          <t>DB1 pro
Stunde €</t>
        </is>
      </c>
      <c r="E62" s="66" t="inlineStr">
        <is>
          <t>DB1-Marge
%</t>
        </is>
      </c>
      <c r="F62" s="66" t="inlineStr">
        <is>
          <t>Geplante Std.
/Monat (Eingabe)</t>
        </is>
      </c>
      <c r="G62" s="66" t="inlineStr">
        <is>
          <t>DB1 pro
Monat €</t>
        </is>
      </c>
      <c r="H62" s="66" t="inlineStr">
        <is>
          <t>DB1 pro
Jahr €</t>
        </is>
      </c>
      <c r="I62" s="66" t="inlineStr">
        <is>
          <t>Status</t>
        </is>
      </c>
      <c r="J62" s="66" t="inlineStr"/>
    </row>
    <row r="63">
      <c r="A63" s="67">
        <f>A54</f>
        <v/>
      </c>
      <c r="B63" s="68">
        <f>I54</f>
        <v/>
      </c>
      <c r="C63" s="69" t="n"/>
      <c r="D63" s="70">
        <f>IF(C63="","",C63-B63)</f>
        <v/>
      </c>
      <c r="E63" s="29">
        <f>IFERROR(D63/C63,"")</f>
        <v/>
      </c>
      <c r="F63" s="71" t="n"/>
      <c r="G63" s="40">
        <f>IF(OR(D63="",F63=""),"",D63*F63)</f>
        <v/>
      </c>
      <c r="H63" s="28">
        <f>IF(G63="","",G63*12)</f>
        <v/>
      </c>
      <c r="I63" s="72">
        <f>IF(C63="","",IF(D63&gt;=0,"DB1 positiv","DB1 negativ"))</f>
        <v/>
      </c>
    </row>
    <row r="64">
      <c r="A64" s="73">
        <f>A55</f>
        <v/>
      </c>
      <c r="B64" s="74">
        <f>I55</f>
        <v/>
      </c>
      <c r="C64" s="75" t="n"/>
      <c r="D64" s="76">
        <f>IF(C64="","",C64-B64)</f>
        <v/>
      </c>
      <c r="E64" s="35">
        <f>IFERROR(D64/C64,"")</f>
        <v/>
      </c>
      <c r="F64" s="77" t="n"/>
      <c r="G64" s="43">
        <f>IF(OR(D64="",F64=""),"",D64*F64)</f>
        <v/>
      </c>
      <c r="H64" s="34">
        <f>IF(G64="","",G64*12)</f>
        <v/>
      </c>
      <c r="I64" s="78">
        <f>IF(C64="","",IF(D64&gt;=0,"DB1 positiv","DB1 negativ"))</f>
        <v/>
      </c>
    </row>
    <row r="65">
      <c r="A65" s="67">
        <f>A56</f>
        <v/>
      </c>
      <c r="B65" s="68">
        <f>I56</f>
        <v/>
      </c>
      <c r="C65" s="69" t="n"/>
      <c r="D65" s="70">
        <f>IF(C65="","",C65-B65)</f>
        <v/>
      </c>
      <c r="E65" s="29">
        <f>IFERROR(D65/C65,"")</f>
        <v/>
      </c>
      <c r="F65" s="71" t="n"/>
      <c r="G65" s="40">
        <f>IF(OR(D65="",F65=""),"",D65*F65)</f>
        <v/>
      </c>
      <c r="H65" s="28">
        <f>IF(G65="","",G65*12)</f>
        <v/>
      </c>
      <c r="I65" s="72">
        <f>IF(C65="","",IF(D65&gt;=0,"DB1 positiv","DB1 negativ"))</f>
        <v/>
      </c>
    </row>
    <row r="66">
      <c r="A66" s="73">
        <f>A57</f>
        <v/>
      </c>
      <c r="B66" s="74">
        <f>I57</f>
        <v/>
      </c>
      <c r="C66" s="75" t="n"/>
      <c r="D66" s="76">
        <f>IF(C66="","",C66-B66)</f>
        <v/>
      </c>
      <c r="E66" s="35">
        <f>IFERROR(D66/C66,"")</f>
        <v/>
      </c>
      <c r="F66" s="77" t="n"/>
      <c r="G66" s="43">
        <f>IF(OR(D66="",F66=""),"",D66*F66)</f>
        <v/>
      </c>
      <c r="H66" s="34">
        <f>IF(G66="","",G66*12)</f>
        <v/>
      </c>
      <c r="I66" s="78">
        <f>IF(C66="","",IF(D66&gt;=0,"DB1 positiv","DB1 negativ"))</f>
        <v/>
      </c>
    </row>
    <row r="67">
      <c r="A67" s="67">
        <f>A58</f>
        <v/>
      </c>
      <c r="B67" s="68">
        <f>I58</f>
        <v/>
      </c>
      <c r="C67" s="69" t="n"/>
      <c r="D67" s="70">
        <f>IF(C67="","",C67-B67)</f>
        <v/>
      </c>
      <c r="E67" s="29">
        <f>IFERROR(D67/C67,"")</f>
        <v/>
      </c>
      <c r="F67" s="71" t="n"/>
      <c r="G67" s="40">
        <f>IF(OR(D67="",F67=""),"",D67*F67)</f>
        <v/>
      </c>
      <c r="H67" s="28">
        <f>IF(G67="","",G67*12)</f>
        <v/>
      </c>
      <c r="I67" s="72">
        <f>IF(C67="","",IF(D67&gt;=0,"DB1 positiv","DB1 negativ"))</f>
        <v/>
      </c>
    </row>
    <row r="68">
      <c r="A68" s="73">
        <f>A59</f>
        <v/>
      </c>
      <c r="B68" s="74">
        <f>I59</f>
        <v/>
      </c>
      <c r="C68" s="75" t="n"/>
      <c r="D68" s="76">
        <f>IF(C68="","",C68-B68)</f>
        <v/>
      </c>
      <c r="E68" s="35">
        <f>IFERROR(D68/C68,"")</f>
        <v/>
      </c>
      <c r="F68" s="77" t="n"/>
      <c r="G68" s="43">
        <f>IF(OR(D68="",F68=""),"",D68*F68)</f>
        <v/>
      </c>
      <c r="H68" s="34">
        <f>IF(G68="","",G68*12)</f>
        <v/>
      </c>
      <c r="I68" s="78">
        <f>IF(C68="","",IF(D68&gt;=0,"DB1 positiv","DB1 negativ"))</f>
        <v/>
      </c>
    </row>
  </sheetData>
  <mergeCells count="39">
    <mergeCell ref="A48:B48"/>
    <mergeCell ref="A24:B24"/>
    <mergeCell ref="A15:B15"/>
    <mergeCell ref="A11:B11"/>
    <mergeCell ref="A49:B49"/>
    <mergeCell ref="A51:B51"/>
    <mergeCell ref="A45:B45"/>
    <mergeCell ref="A16:B16"/>
    <mergeCell ref="A7:B7"/>
    <mergeCell ref="A25:B25"/>
    <mergeCell ref="A41:B41"/>
    <mergeCell ref="A22:C22"/>
    <mergeCell ref="A46:B46"/>
    <mergeCell ref="A18:B18"/>
    <mergeCell ref="A27:B27"/>
    <mergeCell ref="A38:C38"/>
    <mergeCell ref="A12:B12"/>
    <mergeCell ref="A50:B50"/>
    <mergeCell ref="A1:J1"/>
    <mergeCell ref="A26:B26"/>
    <mergeCell ref="A47:B47"/>
    <mergeCell ref="A42:B42"/>
    <mergeCell ref="A14:B14"/>
    <mergeCell ref="A23:B23"/>
    <mergeCell ref="A17:B17"/>
    <mergeCell ref="A8:B8"/>
    <mergeCell ref="A20:B20"/>
    <mergeCell ref="A43:B43"/>
    <mergeCell ref="A19:B19"/>
    <mergeCell ref="A61:C61"/>
    <mergeCell ref="A6:C6"/>
    <mergeCell ref="A10:B10"/>
    <mergeCell ref="A28:B28"/>
    <mergeCell ref="A13:B13"/>
    <mergeCell ref="A44:B44"/>
    <mergeCell ref="A2:J2"/>
    <mergeCell ref="A9:B9"/>
    <mergeCell ref="A39:B39"/>
    <mergeCell ref="A40:B40"/>
  </mergeCells>
  <conditionalFormatting sqref="K31:K36">
    <cfRule type="cellIs" priority="1" operator="lessThan" dxfId="1">
      <formula>0</formula>
    </cfRule>
  </conditionalFormatting>
  <conditionalFormatting sqref="D63:D68">
    <cfRule type="cellIs" priority="2" operator="lessThan" dxfId="1">
      <formula>0</formula>
    </cfRule>
  </conditionalFormatting>
  <conditionalFormatting sqref="I63">
    <cfRule type="expression" priority="3" dxfId="1">
      <formula>$D63&lt;0</formula>
    </cfRule>
    <cfRule type="expression" priority="4" dxfId="2">
      <formula>$D63&gt;=0</formula>
    </cfRule>
  </conditionalFormatting>
  <conditionalFormatting sqref="I64">
    <cfRule type="expression" priority="5" dxfId="1">
      <formula>$D64&lt;0</formula>
    </cfRule>
    <cfRule type="expression" priority="6" dxfId="2">
      <formula>$D64&gt;=0</formula>
    </cfRule>
  </conditionalFormatting>
  <conditionalFormatting sqref="I65">
    <cfRule type="expression" priority="7" dxfId="1">
      <formula>$D65&lt;0</formula>
    </cfRule>
    <cfRule type="expression" priority="8" dxfId="2">
      <formula>$D65&gt;=0</formula>
    </cfRule>
  </conditionalFormatting>
  <conditionalFormatting sqref="I66">
    <cfRule type="expression" priority="9" dxfId="1">
      <formula>$D66&lt;0</formula>
    </cfRule>
    <cfRule type="expression" priority="10" dxfId="2">
      <formula>$D66&gt;=0</formula>
    </cfRule>
  </conditionalFormatting>
  <conditionalFormatting sqref="I67">
    <cfRule type="expression" priority="11" dxfId="1">
      <formula>$D67&lt;0</formula>
    </cfRule>
    <cfRule type="expression" priority="12" dxfId="2">
      <formula>$D67&gt;=0</formula>
    </cfRule>
  </conditionalFormatting>
  <conditionalFormatting sqref="I68">
    <cfRule type="expression" priority="13" dxfId="1">
      <formula>$D68&lt;0</formula>
    </cfRule>
    <cfRule type="expression" priority="14" dxfId="2">
      <formula>$D68&gt;=0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E6B8A"/>
    <outlinePr summaryBelow="1" summaryRight="1"/>
    <pageSetUpPr fitToPage="1"/>
  </sheetPr>
  <dimension ref="A1:I77"/>
  <sheetViews>
    <sheetView showGridLines="0" zoomScale="9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>
      <c r="A1" s="79" t="inlineStr">
        <is>
          <t>[Ihre Firma GmbH]</t>
        </is>
      </c>
      <c r="F1" s="80" t="inlineStr">
        <is>
          <t>[ Firmenlogo hier einfügen ]</t>
        </is>
      </c>
    </row>
    <row r="2">
      <c r="A2" s="81" t="inlineStr">
        <is>
          <t>Straße Hausnummer</t>
        </is>
      </c>
    </row>
    <row r="3">
      <c r="A3" s="81" t="inlineStr">
        <is>
          <t>PLZ Ort</t>
        </is>
      </c>
    </row>
    <row r="4">
      <c r="A4" s="81" t="inlineStr">
        <is>
          <t>Tel: +43 ...</t>
        </is>
      </c>
    </row>
    <row r="5">
      <c r="A5" s="81" t="inlineStr">
        <is>
          <t>office@ihrefirma.at</t>
        </is>
      </c>
    </row>
    <row r="6">
      <c r="A6" s="81" t="inlineStr">
        <is>
          <t>www.ihrefirma.at</t>
        </is>
      </c>
    </row>
    <row r="7">
      <c r="A7" s="82" t="n"/>
      <c r="B7" s="82" t="n"/>
      <c r="C7" s="82" t="n"/>
      <c r="D7" s="82" t="n"/>
      <c r="E7" s="82" t="n"/>
      <c r="F7" s="82" t="n"/>
      <c r="G7" s="82" t="n"/>
      <c r="H7" s="82" t="n"/>
      <c r="I7" s="82" t="n"/>
    </row>
    <row r="8" ht="10" customHeight="1"/>
    <row r="9">
      <c r="A9" s="81" t="inlineStr">
        <is>
          <t>[Kundenfirma GmbH]</t>
        </is>
      </c>
      <c r="F9" s="83" t="inlineStr">
        <is>
          <t>Ort, Datum:</t>
        </is>
      </c>
      <c r="H9" s="84">
        <f>TEXT(TODAY(),"DD.MM.YYYY")</f>
        <v/>
      </c>
    </row>
    <row r="10">
      <c r="A10" s="81" t="inlineStr">
        <is>
          <t>[Straße Hausnummer]</t>
        </is>
      </c>
      <c r="F10" s="83" t="inlineStr">
        <is>
          <t>ID Angebot:</t>
        </is>
      </c>
      <c r="H10" s="57" t="n"/>
    </row>
    <row r="11">
      <c r="A11" s="81" t="inlineStr">
        <is>
          <t>[PLZ Ort]</t>
        </is>
      </c>
      <c r="F11" s="83" t="inlineStr">
        <is>
          <t>ID Kunde:</t>
        </is>
      </c>
      <c r="H11" s="57" t="n"/>
    </row>
    <row r="12" ht="10" customHeight="1"/>
    <row r="13" ht="30" customHeight="1">
      <c r="A13" s="85" t="inlineStr">
        <is>
          <t>ANGEBOT</t>
        </is>
      </c>
    </row>
    <row r="14" ht="8" customHeight="1"/>
    <row r="15" ht="16" customHeight="1">
      <c r="A15" s="86" t="inlineStr">
        <is>
          <t>Sehr geehrte Damen und Herren!
Danke, dass Sie sich für unsere Dienstleistung entschieden haben.
Untenstehend unterbreiten wir Ihnen unser Angebot — maßgeschneidert und aktuell.</t>
        </is>
      </c>
    </row>
    <row r="16"/>
    <row r="17"/>
    <row r="18"/>
    <row r="19" ht="8" customHeight="1"/>
    <row r="20" ht="18" customHeight="1">
      <c r="A20" s="87" t="inlineStr">
        <is>
          <t>Berufsbezeichnung</t>
        </is>
      </c>
      <c r="G20" s="88" t="inlineStr">
        <is>
          <t>Verrechnungssatz</t>
        </is>
      </c>
    </row>
    <row r="21">
      <c r="A21" s="67">
        <f>IF(Kalkulation!A63="","",Kalkulation!A63)</f>
        <v/>
      </c>
      <c r="G21" s="89">
        <f>IF(Kalkulation!C63="","",TEXT(Kalkulation!C63,"#,##0.00")&amp;" EUR")</f>
        <v/>
      </c>
    </row>
    <row r="22">
      <c r="A22" s="73">
        <f>IF(Kalkulation!A64="","",Kalkulation!A64)</f>
        <v/>
      </c>
      <c r="B22" s="90" t="n"/>
      <c r="C22" s="90" t="n"/>
      <c r="D22" s="90" t="n"/>
      <c r="E22" s="90" t="n"/>
      <c r="F22" s="90" t="n"/>
      <c r="G22" s="91">
        <f>IF(Kalkulation!C64="","",TEXT(Kalkulation!C64,"#,##0.00")&amp;" EUR")</f>
        <v/>
      </c>
      <c r="H22" s="90" t="n"/>
      <c r="I22" s="90" t="n"/>
    </row>
    <row r="23">
      <c r="A23" s="67">
        <f>IF(Kalkulation!A65="","",Kalkulation!A65)</f>
        <v/>
      </c>
      <c r="G23" s="89">
        <f>IF(Kalkulation!C65="","",TEXT(Kalkulation!C65,"#,##0.00")&amp;" EUR")</f>
        <v/>
      </c>
    </row>
    <row r="24">
      <c r="A24" s="73">
        <f>IF(Kalkulation!A66="","",Kalkulation!A66)</f>
        <v/>
      </c>
      <c r="B24" s="90" t="n"/>
      <c r="C24" s="90" t="n"/>
      <c r="D24" s="90" t="n"/>
      <c r="E24" s="90" t="n"/>
      <c r="F24" s="90" t="n"/>
      <c r="G24" s="91">
        <f>IF(Kalkulation!C66="","",TEXT(Kalkulation!C66,"#,##0.00")&amp;" EUR")</f>
        <v/>
      </c>
      <c r="H24" s="90" t="n"/>
      <c r="I24" s="90" t="n"/>
    </row>
    <row r="25">
      <c r="A25" s="67">
        <f>IF(Kalkulation!A67="","",Kalkulation!A67)</f>
        <v/>
      </c>
      <c r="G25" s="89">
        <f>IF(Kalkulation!C67="","",TEXT(Kalkulation!C67,"#,##0.00")&amp;" EUR")</f>
        <v/>
      </c>
    </row>
    <row r="26">
      <c r="A26" s="73">
        <f>IF(Kalkulation!A68="","",Kalkulation!A68)</f>
        <v/>
      </c>
      <c r="B26" s="90" t="n"/>
      <c r="C26" s="90" t="n"/>
      <c r="D26" s="90" t="n"/>
      <c r="E26" s="90" t="n"/>
      <c r="F26" s="90" t="n"/>
      <c r="G26" s="91">
        <f>IF(Kalkulation!C68="","",TEXT(Kalkulation!C68,"#,##0.00")&amp;" EUR")</f>
        <v/>
      </c>
      <c r="H26" s="90" t="n"/>
      <c r="I26" s="90" t="n"/>
    </row>
    <row r="27" ht="10" customHeight="1"/>
    <row r="28" ht="18" customHeight="1">
      <c r="A28" s="87" t="inlineStr">
        <is>
          <t>Zulagen</t>
        </is>
      </c>
      <c r="G28" s="88" t="inlineStr">
        <is>
          <t>Verrechnungssatz</t>
        </is>
      </c>
    </row>
    <row r="29">
      <c r="A29" s="57" t="inlineStr">
        <is>
          <t>LNK für sonst. Lohnarten</t>
        </is>
      </c>
      <c r="G29" s="92" t="n"/>
    </row>
    <row r="30">
      <c r="A30" s="57" t="inlineStr"/>
      <c r="G30" s="92" t="n"/>
    </row>
    <row r="31">
      <c r="A31" s="57" t="inlineStr"/>
      <c r="G31" s="92" t="n"/>
    </row>
    <row r="32" ht="10" customHeight="1"/>
    <row r="33">
      <c r="A33" s="93" t="inlineStr">
        <is>
          <t>Übernahme ins Stammpersonal</t>
        </is>
      </c>
    </row>
    <row r="34">
      <c r="A34" s="94" t="inlineStr">
        <is>
          <t>Die Übernahme der überlassenen Mitarbeiter ist frühestens nach einer 12-monatigen, durchgehenden Beschäftigung zum nächsten Monatsersten kostenlos möglich.</t>
        </is>
      </c>
    </row>
    <row r="35"/>
    <row r="37">
      <c r="A37" s="93" t="inlineStr">
        <is>
          <t>Gültigkeit</t>
        </is>
      </c>
    </row>
    <row r="38">
      <c r="A38" s="83" t="inlineStr">
        <is>
          <t>von:</t>
        </is>
      </c>
      <c r="B38" s="57" t="n"/>
      <c r="D38" s="83" t="inlineStr">
        <is>
          <t>bis:</t>
        </is>
      </c>
      <c r="E38" s="57" t="n"/>
    </row>
    <row r="40">
      <c r="A40" s="95">
        <f>A1</f>
        <v/>
      </c>
    </row>
    <row r="41">
      <c r="A41" s="96">
        <f>A2</f>
        <v/>
      </c>
    </row>
    <row r="42">
      <c r="A42" s="96">
        <f>A3</f>
        <v/>
      </c>
    </row>
    <row r="43">
      <c r="A43" s="96">
        <f>A4</f>
        <v/>
      </c>
    </row>
    <row r="44">
      <c r="A44" s="96">
        <f>A5</f>
        <v/>
      </c>
    </row>
    <row r="46">
      <c r="A46" s="93" t="inlineStr">
        <is>
          <t>Entlohnung der Mitarbeiter</t>
        </is>
      </c>
    </row>
    <row r="47">
      <c r="A47" s="94" t="inlineStr">
        <is>
          <t>Die Mitarbeiter werden nach den gesetzlichen Bestimmungen des Arbeitskräfteüberlassungsgesetzes (AÜG) bzw. auf Basis des Kollektivvertrages für das Gewerbe Arbeitskräfteüberlassung entlohnt.</t>
        </is>
      </c>
    </row>
    <row r="48"/>
    <row r="50">
      <c r="A50" s="93" t="inlineStr">
        <is>
          <t>Überstunden</t>
        </is>
      </c>
    </row>
    <row r="51">
      <c r="A51" s="94" t="inlineStr">
        <is>
          <t>Für die Verrechnung anfallender Überstunden gelten die Arbeitszeitregelungen des Beschäftigers sowie das Arbeitszeitgesetz (AZG).</t>
        </is>
      </c>
    </row>
    <row r="52"/>
    <row r="54">
      <c r="A54" s="93" t="inlineStr">
        <is>
          <t>Zahlungsziel</t>
        </is>
      </c>
    </row>
    <row r="55">
      <c r="A55" s="83" t="inlineStr">
        <is>
          <t>Zahlungskondition (Tage netto):</t>
        </is>
      </c>
      <c r="B55" s="71" t="n">
        <v>10</v>
      </c>
      <c r="F55" s="83" t="inlineStr">
        <is>
          <t>MwSt-Satz (%):</t>
        </is>
      </c>
      <c r="G55" s="97" t="n">
        <v>0.2</v>
      </c>
    </row>
    <row r="56">
      <c r="A56" s="98" t="inlineStr">
        <is>
          <t>Die Abrechnung erfolgt je Kalendermonat. Der erbrachten Leistung wird die oben genannte Mehrwertsteuer zzgl. in Rechnung gestellt.</t>
        </is>
      </c>
    </row>
    <row r="58">
      <c r="A58" s="99" t="inlineStr">
        <is>
          <t>Es gelten unsere allgemeinen Geschäftsbedingungen. Mit der Unterzeichnung dieses Angebots/Auftrags bestätigen Sie den Erhalt der AGB und erklären sich mit deren Geltung einverstanden.</t>
        </is>
      </c>
    </row>
    <row r="59"/>
    <row r="61">
      <c r="A61" s="83">
        <f>A1</f>
        <v/>
      </c>
    </row>
    <row r="62">
      <c r="A62" s="83" t="inlineStr">
        <is>
          <t>Name Unterzeichner:</t>
        </is>
      </c>
      <c r="B62" s="57" t="n"/>
    </row>
    <row r="64">
      <c r="A64" s="100" t="n"/>
      <c r="B64" s="101" t="n"/>
      <c r="C64" s="101" t="n"/>
      <c r="D64" s="101" t="n"/>
    </row>
    <row r="65">
      <c r="A65" s="102" t="inlineStr">
        <is>
          <t>Datum, Unterschrift &amp; Stempel</t>
        </is>
      </c>
    </row>
    <row r="67">
      <c r="A67" s="93" t="inlineStr">
        <is>
          <t>Auftragsbestätigung</t>
        </is>
      </c>
    </row>
    <row r="68">
      <c r="A68" s="83" t="inlineStr">
        <is>
          <t>UID-Nummer:</t>
        </is>
      </c>
      <c r="B68" s="57" t="n"/>
    </row>
    <row r="69">
      <c r="A69" s="83" t="inlineStr">
        <is>
          <t>Normalarbeitszeit MO–DO (Std.):</t>
        </is>
      </c>
      <c r="B69" s="57" t="n"/>
      <c r="E69" s="83" t="inlineStr">
        <is>
          <t>FR (Std.):</t>
        </is>
      </c>
      <c r="F69" s="57" t="n"/>
    </row>
    <row r="70">
      <c r="A70" s="83" t="inlineStr">
        <is>
          <t>KV und Einstufung:</t>
        </is>
      </c>
      <c r="B70" s="57" t="n"/>
    </row>
    <row r="72">
      <c r="A72" s="83" t="inlineStr">
        <is>
          <t>Bestätigung Auftraggeber:</t>
        </is>
      </c>
    </row>
    <row r="73">
      <c r="A73" s="100" t="n"/>
      <c r="B73" s="101" t="n"/>
      <c r="C73" s="101" t="n"/>
      <c r="D73" s="101" t="n"/>
      <c r="E73" s="101" t="n"/>
    </row>
    <row r="74">
      <c r="A74" s="102" t="inlineStr">
        <is>
          <t>Datum, Unterschrift &amp; Stempel</t>
        </is>
      </c>
    </row>
    <row r="77" ht="14" customHeight="1">
      <c r="A77" s="45" t="inlineStr">
        <is>
          <t xml:space="preserve"> Eingabefeld / editierbarer Text</t>
        </is>
      </c>
      <c r="D77" s="103" t="inlineStr">
        <is>
          <t xml:space="preserve"> Verknüpfung aus Kalkulation</t>
        </is>
      </c>
    </row>
  </sheetData>
  <mergeCells count="54">
    <mergeCell ref="A5:D5"/>
    <mergeCell ref="F1:I6"/>
    <mergeCell ref="G28:I28"/>
    <mergeCell ref="G55"/>
    <mergeCell ref="A73:E73"/>
    <mergeCell ref="A4:D4"/>
    <mergeCell ref="H10:I10"/>
    <mergeCell ref="A56:I56"/>
    <mergeCell ref="A43:D43"/>
    <mergeCell ref="A26:F26"/>
    <mergeCell ref="A21:F21"/>
    <mergeCell ref="G30:I30"/>
    <mergeCell ref="A34:I35"/>
    <mergeCell ref="H9:I9"/>
    <mergeCell ref="A44:D44"/>
    <mergeCell ref="G24:I24"/>
    <mergeCell ref="A40:D40"/>
    <mergeCell ref="A15:I18"/>
    <mergeCell ref="A58:I59"/>
    <mergeCell ref="A23:F23"/>
    <mergeCell ref="A64:D64"/>
    <mergeCell ref="F69"/>
    <mergeCell ref="A22:F22"/>
    <mergeCell ref="G20:I20"/>
    <mergeCell ref="G26:I26"/>
    <mergeCell ref="B68:D68"/>
    <mergeCell ref="A20:F20"/>
    <mergeCell ref="G29:I29"/>
    <mergeCell ref="A51:I52"/>
    <mergeCell ref="A29:F29"/>
    <mergeCell ref="G25:I25"/>
    <mergeCell ref="A10:C10"/>
    <mergeCell ref="A1:D1"/>
    <mergeCell ref="H11:I11"/>
    <mergeCell ref="A28:F28"/>
    <mergeCell ref="A6:D6"/>
    <mergeCell ref="G22:I22"/>
    <mergeCell ref="A13:I13"/>
    <mergeCell ref="G31:I31"/>
    <mergeCell ref="A31:F31"/>
    <mergeCell ref="A9:C9"/>
    <mergeCell ref="A41:D41"/>
    <mergeCell ref="A30:F30"/>
    <mergeCell ref="G21:I21"/>
    <mergeCell ref="A24:F24"/>
    <mergeCell ref="A11:C11"/>
    <mergeCell ref="A3:D3"/>
    <mergeCell ref="G23:I23"/>
    <mergeCell ref="B69"/>
    <mergeCell ref="B70:D70"/>
    <mergeCell ref="A2:D2"/>
    <mergeCell ref="A42:D42"/>
    <mergeCell ref="A47:I48"/>
    <mergeCell ref="A25:F25"/>
  </mergeCells>
  <pageMargins left="0.5" right="0.5" top="0.6" bottom="0.6" header="0.5" footer="0.5"/>
  <pageSetup orientation="portrait" paperSize="9" fitToHeight="0" fitToWidth="1"/>
  <rowBreaks count="1" manualBreakCount="1">
    <brk id="39" min="0" max="16383" man="1"/>
  </rowBreaks>
</worksheet>
</file>

<file path=xl/worksheets/sheet4.xml><?xml version="1.0" encoding="utf-8"?>
<worksheet xmlns="http://schemas.openxmlformats.org/spreadsheetml/2006/main">
  <sheetPr>
    <tabColor rgb="0014120F"/>
    <outlinePr summaryBelow="1" summaryRight="1"/>
    <pageSetUpPr/>
  </sheetPr>
  <dimension ref="A1:D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24" customWidth="1" min="4" max="4"/>
  </cols>
  <sheetData>
    <row r="1" ht="26" customHeight="1">
      <c r="A1" s="1" t="inlineStr">
        <is>
          <t>STAMMDATEN — Kunden &amp; Mitarbeiter</t>
        </is>
      </c>
      <c r="B1" s="2" t="n"/>
      <c r="C1" s="2" t="n"/>
      <c r="D1" s="2" t="n"/>
    </row>
    <row r="2" ht="15" customHeight="1">
      <c r="A2" s="3" t="inlineStr">
        <is>
          <t>Kunden- und Mitarbeiternamen selbst ausfüllen · Abgaben- &amp; Rückstellungssätze zentral festlegen</t>
        </is>
      </c>
      <c r="B2" s="4" t="n"/>
      <c r="C2" s="4" t="n"/>
      <c r="D2" s="4" t="n"/>
    </row>
    <row r="3" ht="6" customHeight="1"/>
    <row r="4">
      <c r="A4" s="104" t="inlineStr">
        <is>
          <t>Einstellungen · Abgaben- &amp; Rückstellungssätze</t>
        </is>
      </c>
    </row>
    <row r="5">
      <c r="A5" s="105" t="inlineStr">
        <is>
          <t>Rückstellungssatz Urlaubsgeld (Anteil vom Monats-Selbstkostensatz)</t>
        </is>
      </c>
      <c r="C5" s="48" t="n">
        <v>0.08333333333333333</v>
      </c>
    </row>
    <row r="6">
      <c r="A6" s="105" t="inlineStr">
        <is>
          <t>Rückstellungssatz Weihnachtsgeld (Anteil vom Monats-Selbstkostensatz)</t>
        </is>
      </c>
      <c r="C6" s="48" t="n">
        <v>0.08333333333333333</v>
      </c>
    </row>
    <row r="7">
      <c r="A7" s="105" t="inlineStr">
        <is>
          <t>DG-Abgaben-Satz (verknüpft aus Blatt 'Kalkulation' — SV, SWF, MVK, DB/DZ, Kommunalsteuer)</t>
        </is>
      </c>
      <c r="C7" s="106">
        <f>Kalkulation!C19</f>
        <v/>
      </c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Rolle / Position</t>
        </is>
      </c>
    </row>
    <row r="9">
      <c r="A9" s="108" t="n">
        <v>1</v>
      </c>
      <c r="B9" s="109" t="inlineStr">
        <is>
          <t>Alpina Logistik GmbH</t>
        </is>
      </c>
      <c r="C9" s="110" t="inlineStr">
        <is>
          <t>Julia Wagner</t>
        </is>
      </c>
      <c r="D9" s="111" t="inlineStr">
        <is>
          <t>Versandmitarbeiter</t>
        </is>
      </c>
    </row>
    <row r="10">
      <c r="A10" s="108" t="n">
        <v>2</v>
      </c>
      <c r="B10" s="109" t="inlineStr">
        <is>
          <t>Alpina Logistik GmbH</t>
        </is>
      </c>
      <c r="C10" s="110" t="inlineStr">
        <is>
          <t>Jasmin Berger</t>
        </is>
      </c>
      <c r="D10" s="111" t="inlineStr">
        <is>
          <t>Versandmitarbeiter</t>
        </is>
      </c>
    </row>
    <row r="11">
      <c r="A11" s="108" t="n">
        <v>3</v>
      </c>
      <c r="B11" s="109" t="inlineStr">
        <is>
          <t>Alpina Logistik GmbH</t>
        </is>
      </c>
      <c r="C11" s="110" t="inlineStr">
        <is>
          <t>Martin Reiter</t>
        </is>
      </c>
      <c r="D11" s="111" t="inlineStr">
        <is>
          <t>Versandmitarbeiter</t>
        </is>
      </c>
    </row>
    <row r="12">
      <c r="A12" s="108" t="n">
        <v>4</v>
      </c>
      <c r="B12" s="109" t="inlineStr">
        <is>
          <t>Alpina Logistik GmbH</t>
        </is>
      </c>
      <c r="C12" s="110" t="inlineStr">
        <is>
          <t>Lisa Schwarz</t>
        </is>
      </c>
      <c r="D12" s="111" t="inlineStr">
        <is>
          <t>Kommissionierer</t>
        </is>
      </c>
    </row>
    <row r="13">
      <c r="A13" s="108" t="n">
        <v>5</v>
      </c>
      <c r="B13" s="109" t="inlineStr">
        <is>
          <t>Alpina Logistik GmbH</t>
        </is>
      </c>
      <c r="C13" s="110" t="inlineStr">
        <is>
          <t>Katharina Hofer</t>
        </is>
      </c>
      <c r="D13" s="111" t="inlineStr">
        <is>
          <t>Staplerfahrer</t>
        </is>
      </c>
    </row>
    <row r="14">
      <c r="A14" s="108" t="n">
        <v>6</v>
      </c>
      <c r="B14" s="109" t="inlineStr">
        <is>
          <t>Alpina Logistik GmbH</t>
        </is>
      </c>
      <c r="C14" s="110" t="inlineStr">
        <is>
          <t>Jasmin Huber</t>
        </is>
      </c>
      <c r="D14" s="111" t="inlineStr">
        <is>
          <t>Lagerlogistiker</t>
        </is>
      </c>
    </row>
    <row r="15">
      <c r="A15" s="108" t="n">
        <v>7</v>
      </c>
      <c r="B15" s="109" t="inlineStr">
        <is>
          <t>Alpina Logistik GmbH</t>
        </is>
      </c>
      <c r="C15" s="110" t="inlineStr">
        <is>
          <t>Andreas Egger</t>
        </is>
      </c>
      <c r="D15" s="111" t="inlineStr">
        <is>
          <t>Kommissionierer</t>
        </is>
      </c>
    </row>
    <row r="16">
      <c r="A16" s="108" t="n">
        <v>8</v>
      </c>
      <c r="B16" s="109" t="inlineStr">
        <is>
          <t>Alpina Logistik GmbH</t>
        </is>
      </c>
      <c r="C16" s="110" t="inlineStr">
        <is>
          <t>Alexander Winkler</t>
        </is>
      </c>
      <c r="D16" s="111" t="inlineStr">
        <is>
          <t>Versandmitarbeiter</t>
        </is>
      </c>
    </row>
    <row r="17">
      <c r="A17" s="108" t="n">
        <v>9</v>
      </c>
      <c r="B17" s="109" t="inlineStr">
        <is>
          <t>Alpina Logistik GmbH</t>
        </is>
      </c>
      <c r="C17" s="110" t="inlineStr">
        <is>
          <t>Christian Egger</t>
        </is>
      </c>
      <c r="D17" s="111" t="inlineStr">
        <is>
          <t>Lagerlogistiker</t>
        </is>
      </c>
    </row>
    <row r="18">
      <c r="A18" s="108" t="n">
        <v>10</v>
      </c>
      <c r="B18" s="109" t="inlineStr">
        <is>
          <t>Alpina Logistik GmbH</t>
        </is>
      </c>
      <c r="C18" s="110" t="inlineStr">
        <is>
          <t>Florian Winkler</t>
        </is>
      </c>
      <c r="D18" s="111" t="inlineStr">
        <is>
          <t>Lagerlogistiker</t>
        </is>
      </c>
    </row>
    <row r="19">
      <c r="A19" s="112" t="n">
        <v>11</v>
      </c>
      <c r="B19" s="113" t="inlineStr">
        <is>
          <t>Bergmüller Bau AG</t>
        </is>
      </c>
      <c r="C19" s="114" t="inlineStr">
        <is>
          <t>Lena Auer</t>
        </is>
      </c>
      <c r="D19" s="115" t="inlineStr">
        <is>
          <t>Poliersassistent</t>
        </is>
      </c>
    </row>
    <row r="20">
      <c r="A20" s="116" t="n">
        <v>12</v>
      </c>
      <c r="B20" s="117" t="inlineStr">
        <is>
          <t>Bergmüller Bau AG</t>
        </is>
      </c>
      <c r="C20" s="61" t="inlineStr">
        <is>
          <t>Laura Aigner</t>
        </is>
      </c>
      <c r="D20" s="118" t="inlineStr">
        <is>
          <t>Poliersassistent</t>
        </is>
      </c>
    </row>
    <row r="21">
      <c r="A21" s="116" t="n">
        <v>13</v>
      </c>
      <c r="B21" s="117" t="inlineStr">
        <is>
          <t>Bergmüller Bau AG</t>
        </is>
      </c>
      <c r="C21" s="61" t="inlineStr">
        <is>
          <t>Michael Wallner</t>
        </is>
      </c>
      <c r="D21" s="118" t="inlineStr">
        <is>
          <t>Maurer</t>
        </is>
      </c>
    </row>
    <row r="22">
      <c r="A22" s="116" t="n">
        <v>14</v>
      </c>
      <c r="B22" s="117" t="inlineStr">
        <is>
          <t>Bergmüller Bau AG</t>
        </is>
      </c>
      <c r="C22" s="61" t="inlineStr">
        <is>
          <t>Daniel Weber</t>
        </is>
      </c>
      <c r="D22" s="118" t="inlineStr">
        <is>
          <t>Baugeräteführer</t>
        </is>
      </c>
    </row>
    <row r="23">
      <c r="A23" s="116" t="n">
        <v>15</v>
      </c>
      <c r="B23" s="117" t="inlineStr">
        <is>
          <t>Bergmüller Bau AG</t>
        </is>
      </c>
      <c r="C23" s="61" t="inlineStr">
        <is>
          <t>Vanessa Reiter</t>
        </is>
      </c>
      <c r="D23" s="118" t="inlineStr">
        <is>
          <t>Maurer</t>
        </is>
      </c>
    </row>
    <row r="24">
      <c r="A24" s="116" t="n">
        <v>16</v>
      </c>
      <c r="B24" s="117" t="inlineStr">
        <is>
          <t>Bergmüller Bau AG</t>
        </is>
      </c>
      <c r="C24" s="61" t="inlineStr">
        <is>
          <t>Vanessa Wimmer</t>
        </is>
      </c>
      <c r="D24" s="118" t="inlineStr">
        <is>
          <t>Baufacharbeiter</t>
        </is>
      </c>
    </row>
    <row r="25">
      <c r="A25" s="116" t="n">
        <v>17</v>
      </c>
      <c r="B25" s="117" t="inlineStr">
        <is>
          <t>Bergmüller Bau AG</t>
        </is>
      </c>
      <c r="C25" s="61" t="inlineStr">
        <is>
          <t>Vanessa Huber</t>
        </is>
      </c>
      <c r="D25" s="118" t="inlineStr">
        <is>
          <t>Baufacharbeiter</t>
        </is>
      </c>
    </row>
    <row r="26">
      <c r="A26" s="116" t="n">
        <v>18</v>
      </c>
      <c r="B26" s="117" t="inlineStr">
        <is>
          <t>Bergmüller Bau AG</t>
        </is>
      </c>
      <c r="C26" s="61" t="inlineStr">
        <is>
          <t>Wolfgang Wallner</t>
        </is>
      </c>
      <c r="D26" s="118" t="inlineStr">
        <is>
          <t>Baugeräteführer</t>
        </is>
      </c>
    </row>
    <row r="27">
      <c r="A27" s="116" t="n">
        <v>19</v>
      </c>
      <c r="B27" s="117" t="inlineStr">
        <is>
          <t>Bergmüller Bau AG</t>
        </is>
      </c>
      <c r="C27" s="61" t="inlineStr">
        <is>
          <t>Nina Lang</t>
        </is>
      </c>
      <c r="D27" s="118" t="inlineStr">
        <is>
          <t>Schalungsbauer</t>
        </is>
      </c>
    </row>
    <row r="28">
      <c r="A28" s="116" t="n">
        <v>20</v>
      </c>
      <c r="B28" s="117" t="inlineStr">
        <is>
          <t>Bergmüller Bau AG</t>
        </is>
      </c>
      <c r="C28" s="61" t="inlineStr">
        <is>
          <t>Markus Hofer</t>
        </is>
      </c>
      <c r="D28" s="118" t="inlineStr">
        <is>
          <t>Maurer</t>
        </is>
      </c>
    </row>
    <row r="29">
      <c r="A29" s="119" t="n">
        <v>21</v>
      </c>
      <c r="B29" s="120" t="inlineStr">
        <is>
          <t>CaraTech Elektronik GmbH</t>
        </is>
      </c>
      <c r="C29" s="121" t="inlineStr">
        <is>
          <t>Patrick Moser</t>
        </is>
      </c>
      <c r="D29" s="122" t="inlineStr">
        <is>
          <t>SMD-Löter</t>
        </is>
      </c>
    </row>
    <row r="30">
      <c r="A30" s="108" t="n">
        <v>22</v>
      </c>
      <c r="B30" s="109" t="inlineStr">
        <is>
          <t>CaraTech Elektronik GmbH</t>
        </is>
      </c>
      <c r="C30" s="110" t="inlineStr">
        <is>
          <t>Sophie Fuchs</t>
        </is>
      </c>
      <c r="D30" s="111" t="inlineStr">
        <is>
          <t>Elektromonteur</t>
        </is>
      </c>
    </row>
    <row r="31">
      <c r="A31" s="108" t="n">
        <v>23</v>
      </c>
      <c r="B31" s="109" t="inlineStr">
        <is>
          <t>CaraTech Elektronik GmbH</t>
        </is>
      </c>
      <c r="C31" s="110" t="inlineStr">
        <is>
          <t>Alexander Pichler</t>
        </is>
      </c>
      <c r="D31" s="111" t="inlineStr">
        <is>
          <t>Fertigungshelfer</t>
        </is>
      </c>
    </row>
    <row r="32">
      <c r="A32" s="108" t="n">
        <v>24</v>
      </c>
      <c r="B32" s="109" t="inlineStr">
        <is>
          <t>CaraTech Elektronik GmbH</t>
        </is>
      </c>
      <c r="C32" s="110" t="inlineStr">
        <is>
          <t>Alexander Lang</t>
        </is>
      </c>
      <c r="D32" s="111" t="inlineStr">
        <is>
          <t>Elektrokonstrukteur</t>
        </is>
      </c>
    </row>
    <row r="33">
      <c r="A33" s="108" t="n">
        <v>25</v>
      </c>
      <c r="B33" s="109" t="inlineStr">
        <is>
          <t>CaraTech Elektronik GmbH</t>
        </is>
      </c>
      <c r="C33" s="110" t="inlineStr">
        <is>
          <t>Claudia Bauer</t>
        </is>
      </c>
      <c r="D33" s="111" t="inlineStr">
        <is>
          <t>Fertigungshelfer</t>
        </is>
      </c>
    </row>
    <row r="34">
      <c r="A34" s="108" t="n">
        <v>26</v>
      </c>
      <c r="B34" s="109" t="inlineStr">
        <is>
          <t>CaraTech Elektronik GmbH</t>
        </is>
      </c>
      <c r="C34" s="110" t="inlineStr">
        <is>
          <t>Wolfgang Aigner</t>
        </is>
      </c>
      <c r="D34" s="111" t="inlineStr">
        <is>
          <t>Fertigungshelfer</t>
        </is>
      </c>
    </row>
    <row r="35">
      <c r="A35" s="108" t="n">
        <v>27</v>
      </c>
      <c r="B35" s="109" t="inlineStr">
        <is>
          <t>CaraTech Elektronik GmbH</t>
        </is>
      </c>
      <c r="C35" s="110" t="inlineStr">
        <is>
          <t>Sophie Berger</t>
        </is>
      </c>
      <c r="D35" s="111" t="inlineStr">
        <is>
          <t>Fertigungshelfer</t>
        </is>
      </c>
    </row>
    <row r="36">
      <c r="A36" s="108" t="n">
        <v>28</v>
      </c>
      <c r="B36" s="109" t="inlineStr">
        <is>
          <t>CaraTech Elektronik GmbH</t>
        </is>
      </c>
      <c r="C36" s="110" t="inlineStr">
        <is>
          <t>Simon Baumgartner</t>
        </is>
      </c>
      <c r="D36" s="111" t="inlineStr">
        <is>
          <t>SMD-Löter</t>
        </is>
      </c>
    </row>
    <row r="37">
      <c r="A37" s="108" t="n">
        <v>29</v>
      </c>
      <c r="B37" s="109" t="inlineStr">
        <is>
          <t>CaraTech Elektronik GmbH</t>
        </is>
      </c>
      <c r="C37" s="110" t="inlineStr">
        <is>
          <t>Vanessa Maier</t>
        </is>
      </c>
      <c r="D37" s="111" t="inlineStr">
        <is>
          <t>Fertigungshelfer</t>
        </is>
      </c>
    </row>
    <row r="38">
      <c r="A38" s="108" t="n">
        <v>30</v>
      </c>
      <c r="B38" s="109" t="inlineStr">
        <is>
          <t>CaraTech Elektronik GmbH</t>
        </is>
      </c>
      <c r="C38" s="110" t="inlineStr">
        <is>
          <t>Georg Winkler</t>
        </is>
      </c>
      <c r="D38" s="111" t="inlineStr">
        <is>
          <t>Elektrokonstrukteur</t>
        </is>
      </c>
    </row>
    <row r="39">
      <c r="A39" s="112" t="n">
        <v>31</v>
      </c>
      <c r="B39" s="113" t="inlineStr">
        <is>
          <t>Donauwind Energie GmbH</t>
        </is>
      </c>
      <c r="C39" s="114" t="inlineStr">
        <is>
          <t>Claudia Berger</t>
        </is>
      </c>
      <c r="D39" s="115" t="inlineStr">
        <is>
          <t>Messtechniker</t>
        </is>
      </c>
    </row>
    <row r="40">
      <c r="A40" s="116" t="n">
        <v>32</v>
      </c>
      <c r="B40" s="117" t="inlineStr">
        <is>
          <t>Donauwind Energie GmbH</t>
        </is>
      </c>
      <c r="C40" s="61" t="inlineStr">
        <is>
          <t>Sarah Auer</t>
        </is>
      </c>
      <c r="D40" s="118" t="inlineStr">
        <is>
          <t>Messtechniker</t>
        </is>
      </c>
    </row>
    <row r="41">
      <c r="A41" s="116" t="n">
        <v>33</v>
      </c>
      <c r="B41" s="117" t="inlineStr">
        <is>
          <t>Donauwind Energie GmbH</t>
        </is>
      </c>
      <c r="C41" s="61" t="inlineStr">
        <is>
          <t>Anna Moser</t>
        </is>
      </c>
      <c r="D41" s="118" t="inlineStr">
        <is>
          <t>Netzmonteur</t>
        </is>
      </c>
    </row>
    <row r="42">
      <c r="A42" s="116" t="n">
        <v>34</v>
      </c>
      <c r="B42" s="117" t="inlineStr">
        <is>
          <t>Donauwind Energie GmbH</t>
        </is>
      </c>
      <c r="C42" s="61" t="inlineStr">
        <is>
          <t>Patrick Wimmer</t>
        </is>
      </c>
      <c r="D42" s="118" t="inlineStr">
        <is>
          <t>Instandhalter</t>
        </is>
      </c>
    </row>
    <row r="43">
      <c r="A43" s="116" t="n">
        <v>35</v>
      </c>
      <c r="B43" s="117" t="inlineStr">
        <is>
          <t>Donauwind Energie GmbH</t>
        </is>
      </c>
      <c r="C43" s="61" t="inlineStr">
        <is>
          <t>Alexander Fuchs</t>
        </is>
      </c>
      <c r="D43" s="118" t="inlineStr">
        <is>
          <t>Messtechniker</t>
        </is>
      </c>
    </row>
    <row r="44">
      <c r="A44" s="116" t="n">
        <v>36</v>
      </c>
      <c r="B44" s="117" t="inlineStr">
        <is>
          <t>Donauwind Energie GmbH</t>
        </is>
      </c>
      <c r="C44" s="61" t="inlineStr">
        <is>
          <t>Lena Schwarz</t>
        </is>
      </c>
      <c r="D44" s="118" t="inlineStr">
        <is>
          <t>Netzmonteur</t>
        </is>
      </c>
    </row>
    <row r="45">
      <c r="A45" s="116" t="n">
        <v>37</v>
      </c>
      <c r="B45" s="117" t="inlineStr">
        <is>
          <t>Donauwind Energie GmbH</t>
        </is>
      </c>
      <c r="C45" s="61" t="inlineStr">
        <is>
          <t>Daniel Mayer</t>
        </is>
      </c>
      <c r="D45" s="118" t="inlineStr">
        <is>
          <t>Instandhalter</t>
        </is>
      </c>
    </row>
    <row r="46">
      <c r="A46" s="116" t="n">
        <v>38</v>
      </c>
      <c r="B46" s="117" t="inlineStr">
        <is>
          <t>Donauwind Energie GmbH</t>
        </is>
      </c>
      <c r="C46" s="61" t="inlineStr">
        <is>
          <t>Sophie Bauer</t>
        </is>
      </c>
      <c r="D46" s="118" t="inlineStr">
        <is>
          <t>Instandhalter</t>
        </is>
      </c>
    </row>
    <row r="47">
      <c r="A47" s="116" t="n">
        <v>39</v>
      </c>
      <c r="B47" s="117" t="inlineStr">
        <is>
          <t>Donauwind Energie GmbH</t>
        </is>
      </c>
      <c r="C47" s="61" t="inlineStr">
        <is>
          <t>Lisa Egger</t>
        </is>
      </c>
      <c r="D47" s="118" t="inlineStr">
        <is>
          <t>Servicetechniker</t>
        </is>
      </c>
    </row>
    <row r="48">
      <c r="A48" s="116" t="n">
        <v>40</v>
      </c>
      <c r="B48" s="117" t="inlineStr">
        <is>
          <t>Donauwind Energie GmbH</t>
        </is>
      </c>
      <c r="C48" s="61" t="inlineStr">
        <is>
          <t>Wolfgang Lang</t>
        </is>
      </c>
      <c r="D48" s="118" t="inlineStr">
        <is>
          <t>Instandhalter</t>
        </is>
      </c>
    </row>
    <row r="49">
      <c r="A49" s="119" t="n">
        <v>41</v>
      </c>
      <c r="B49" s="120" t="inlineStr">
        <is>
          <t>Edelweiss Gastro Service GmbH</t>
        </is>
      </c>
      <c r="C49" s="121" t="inlineStr">
        <is>
          <t>Sabine Aigner</t>
        </is>
      </c>
      <c r="D49" s="122" t="inlineStr">
        <is>
          <t>Koch/Köchin</t>
        </is>
      </c>
    </row>
    <row r="50">
      <c r="A50" s="108" t="n">
        <v>42</v>
      </c>
      <c r="B50" s="109" t="inlineStr">
        <is>
          <t>Edelweiss Gastro Service GmbH</t>
        </is>
      </c>
      <c r="C50" s="110" t="inlineStr">
        <is>
          <t>Daniel Lang</t>
        </is>
      </c>
      <c r="D50" s="111" t="inlineStr">
        <is>
          <t>Servicekraft</t>
        </is>
      </c>
    </row>
    <row r="51">
      <c r="A51" s="108" t="n">
        <v>43</v>
      </c>
      <c r="B51" s="109" t="inlineStr">
        <is>
          <t>Edelweiss Gastro Service GmbH</t>
        </is>
      </c>
      <c r="C51" s="110" t="inlineStr">
        <is>
          <t>Stefan Wallner</t>
        </is>
      </c>
      <c r="D51" s="111" t="inlineStr">
        <is>
          <t>Servicekraft</t>
        </is>
      </c>
    </row>
    <row r="52">
      <c r="A52" s="108" t="n">
        <v>44</v>
      </c>
      <c r="B52" s="109" t="inlineStr">
        <is>
          <t>Edelweiss Gastro Service GmbH</t>
        </is>
      </c>
      <c r="C52" s="110" t="inlineStr">
        <is>
          <t>Daniel Pichler</t>
        </is>
      </c>
      <c r="D52" s="111" t="inlineStr">
        <is>
          <t>Küchenhilfe</t>
        </is>
      </c>
    </row>
    <row r="53">
      <c r="A53" s="108" t="n">
        <v>45</v>
      </c>
      <c r="B53" s="109" t="inlineStr">
        <is>
          <t>Edelweiss Gastro Service GmbH</t>
        </is>
      </c>
      <c r="C53" s="110" t="inlineStr">
        <is>
          <t>Melanie Berger</t>
        </is>
      </c>
      <c r="D53" s="111" t="inlineStr">
        <is>
          <t>Koch/Köchin</t>
        </is>
      </c>
    </row>
    <row r="54">
      <c r="A54" s="108" t="n">
        <v>46</v>
      </c>
      <c r="B54" s="109" t="inlineStr">
        <is>
          <t>Edelweiss Gastro Service GmbH</t>
        </is>
      </c>
      <c r="C54" s="110" t="inlineStr">
        <is>
          <t>Anna Hofer</t>
        </is>
      </c>
      <c r="D54" s="111" t="inlineStr">
        <is>
          <t>Servicekraft</t>
        </is>
      </c>
    </row>
    <row r="55">
      <c r="A55" s="108" t="n">
        <v>47</v>
      </c>
      <c r="B55" s="109" t="inlineStr">
        <is>
          <t>Edelweiss Gastro Service GmbH</t>
        </is>
      </c>
      <c r="C55" s="110" t="inlineStr">
        <is>
          <t>Sabine Huber</t>
        </is>
      </c>
      <c r="D55" s="111" t="inlineStr">
        <is>
          <t>Servicekraft</t>
        </is>
      </c>
    </row>
    <row r="56">
      <c r="A56" s="108" t="n">
        <v>48</v>
      </c>
      <c r="B56" s="109" t="inlineStr">
        <is>
          <t>Edelweiss Gastro Service GmbH</t>
        </is>
      </c>
      <c r="C56" s="110" t="inlineStr">
        <is>
          <t>Nina Pichler</t>
        </is>
      </c>
      <c r="D56" s="111" t="inlineStr">
        <is>
          <t>Servicekraft</t>
        </is>
      </c>
    </row>
    <row r="57">
      <c r="A57" s="108" t="n">
        <v>49</v>
      </c>
      <c r="B57" s="109" t="inlineStr">
        <is>
          <t>Edelweiss Gastro Service GmbH</t>
        </is>
      </c>
      <c r="C57" s="110" t="inlineStr">
        <is>
          <t>Bernhard Schmid</t>
        </is>
      </c>
      <c r="D57" s="111" t="inlineStr">
        <is>
          <t>Schichtleiter</t>
        </is>
      </c>
    </row>
    <row r="58">
      <c r="A58" s="108" t="n">
        <v>50</v>
      </c>
      <c r="B58" s="109" t="inlineStr">
        <is>
          <t>Edelweiss Gastro Service GmbH</t>
        </is>
      </c>
      <c r="C58" s="110" t="inlineStr">
        <is>
          <t>Alexander Baumgartner</t>
        </is>
      </c>
      <c r="D58" s="111" t="inlineStr">
        <is>
          <t>Koch/Köchin</t>
        </is>
      </c>
    </row>
    <row r="59">
      <c r="A59" s="112" t="n">
        <v>51</v>
      </c>
      <c r="B59" s="113" t="inlineStr">
        <is>
          <t>Falkner Metallbau GmbH</t>
        </is>
      </c>
      <c r="C59" s="114" t="inlineStr">
        <is>
          <t>Christian Wolf</t>
        </is>
      </c>
      <c r="D59" s="115" t="inlineStr">
        <is>
          <t>Schweißer</t>
        </is>
      </c>
    </row>
    <row r="60">
      <c r="A60" s="116" t="n">
        <v>52</v>
      </c>
      <c r="B60" s="117" t="inlineStr">
        <is>
          <t>Falkner Metallbau GmbH</t>
        </is>
      </c>
      <c r="C60" s="61" t="inlineStr">
        <is>
          <t>Florian Hofer</t>
        </is>
      </c>
      <c r="D60" s="118" t="inlineStr">
        <is>
          <t>Schlosser</t>
        </is>
      </c>
    </row>
    <row r="61">
      <c r="A61" s="116" t="n">
        <v>53</v>
      </c>
      <c r="B61" s="117" t="inlineStr">
        <is>
          <t>Falkner Metallbau GmbH</t>
        </is>
      </c>
      <c r="C61" s="61" t="inlineStr">
        <is>
          <t>Wolfgang Winkler</t>
        </is>
      </c>
      <c r="D61" s="118" t="inlineStr">
        <is>
          <t>Metallbautechniker</t>
        </is>
      </c>
    </row>
    <row r="62">
      <c r="A62" s="116" t="n">
        <v>54</v>
      </c>
      <c r="B62" s="117" t="inlineStr">
        <is>
          <t>Falkner Metallbau GmbH</t>
        </is>
      </c>
      <c r="C62" s="61" t="inlineStr">
        <is>
          <t>Florian Wagner</t>
        </is>
      </c>
      <c r="D62" s="118" t="inlineStr">
        <is>
          <t>Metallbautechniker</t>
        </is>
      </c>
    </row>
    <row r="63">
      <c r="A63" s="116" t="n">
        <v>55</v>
      </c>
      <c r="B63" s="117" t="inlineStr">
        <is>
          <t>Falkner Metallbau GmbH</t>
        </is>
      </c>
      <c r="C63" s="61" t="inlineStr">
        <is>
          <t>Sarah Egger</t>
        </is>
      </c>
      <c r="D63" s="118" t="inlineStr">
        <is>
          <t>Konstrukteur</t>
        </is>
      </c>
    </row>
    <row r="64">
      <c r="A64" s="116" t="n">
        <v>56</v>
      </c>
      <c r="B64" s="117" t="inlineStr">
        <is>
          <t>Falkner Metallbau GmbH</t>
        </is>
      </c>
      <c r="C64" s="61" t="inlineStr">
        <is>
          <t>Andreas Berger</t>
        </is>
      </c>
      <c r="D64" s="118" t="inlineStr">
        <is>
          <t>Metallbautechniker</t>
        </is>
      </c>
    </row>
    <row r="65">
      <c r="A65" s="116" t="n">
        <v>57</v>
      </c>
      <c r="B65" s="117" t="inlineStr">
        <is>
          <t>Falkner Metallbau GmbH</t>
        </is>
      </c>
      <c r="C65" s="61" t="inlineStr">
        <is>
          <t>Patrick Wagner</t>
        </is>
      </c>
      <c r="D65" s="118" t="inlineStr">
        <is>
          <t>CNC-Fräser</t>
        </is>
      </c>
    </row>
    <row r="66">
      <c r="A66" s="116" t="n">
        <v>58</v>
      </c>
      <c r="B66" s="117" t="inlineStr">
        <is>
          <t>Falkner Metallbau GmbH</t>
        </is>
      </c>
      <c r="C66" s="61" t="inlineStr">
        <is>
          <t>Katharina Maier</t>
        </is>
      </c>
      <c r="D66" s="118" t="inlineStr">
        <is>
          <t>Schlosser</t>
        </is>
      </c>
    </row>
    <row r="67">
      <c r="A67" s="116" t="n">
        <v>59</v>
      </c>
      <c r="B67" s="117" t="inlineStr">
        <is>
          <t>Falkner Metallbau GmbH</t>
        </is>
      </c>
      <c r="C67" s="61" t="inlineStr">
        <is>
          <t>Melanie Wagner</t>
        </is>
      </c>
      <c r="D67" s="118" t="inlineStr">
        <is>
          <t>Schweißer</t>
        </is>
      </c>
    </row>
    <row r="68">
      <c r="A68" s="116" t="n">
        <v>60</v>
      </c>
      <c r="B68" s="117" t="inlineStr">
        <is>
          <t>Falkner Metallbau GmbH</t>
        </is>
      </c>
      <c r="C68" s="61" t="inlineStr">
        <is>
          <t>Florian Mayer</t>
        </is>
      </c>
      <c r="D68" s="118" t="inlineStr">
        <is>
          <t>CNC-Fräser</t>
        </is>
      </c>
    </row>
    <row r="69">
      <c r="A69" s="119" t="n">
        <v>61</v>
      </c>
      <c r="B69" s="120" t="inlineStr">
        <is>
          <t>Greenfield Agrar &amp; Lebensmittel GmbH</t>
        </is>
      </c>
      <c r="C69" s="121" t="inlineStr">
        <is>
          <t>Vanessa Baumgartner</t>
        </is>
      </c>
      <c r="D69" s="122" t="inlineStr">
        <is>
          <t>Qualitätsprüfer</t>
        </is>
      </c>
    </row>
    <row r="70">
      <c r="A70" s="108" t="n">
        <v>62</v>
      </c>
      <c r="B70" s="109" t="inlineStr">
        <is>
          <t>Greenfield Agrar &amp; Lebensmittel GmbH</t>
        </is>
      </c>
      <c r="C70" s="110" t="inlineStr">
        <is>
          <t>Simon Schwarz</t>
        </is>
      </c>
      <c r="D70" s="111" t="inlineStr">
        <is>
          <t>Staplerfahrer</t>
        </is>
      </c>
    </row>
    <row r="71">
      <c r="A71" s="108" t="n">
        <v>63</v>
      </c>
      <c r="B71" s="109" t="inlineStr">
        <is>
          <t>Greenfield Agrar &amp; Lebensmittel GmbH</t>
        </is>
      </c>
      <c r="C71" s="110" t="inlineStr">
        <is>
          <t>Patrick Schwarz</t>
        </is>
      </c>
      <c r="D71" s="111" t="inlineStr">
        <is>
          <t>Erntehelfer</t>
        </is>
      </c>
    </row>
    <row r="72">
      <c r="A72" s="108" t="n">
        <v>64</v>
      </c>
      <c r="B72" s="109" t="inlineStr">
        <is>
          <t>Greenfield Agrar &amp; Lebensmittel GmbH</t>
        </is>
      </c>
      <c r="C72" s="110" t="inlineStr">
        <is>
          <t>Andreas Bauer</t>
        </is>
      </c>
      <c r="D72" s="111" t="inlineStr">
        <is>
          <t>Produktionsmitarbeiter</t>
        </is>
      </c>
    </row>
    <row r="73">
      <c r="A73" s="108" t="n">
        <v>65</v>
      </c>
      <c r="B73" s="109" t="inlineStr">
        <is>
          <t>Greenfield Agrar &amp; Lebensmittel GmbH</t>
        </is>
      </c>
      <c r="C73" s="110" t="inlineStr">
        <is>
          <t>Simon Gruber</t>
        </is>
      </c>
      <c r="D73" s="111" t="inlineStr">
        <is>
          <t>Qualitätsprüfer</t>
        </is>
      </c>
    </row>
    <row r="74">
      <c r="A74" s="108" t="n">
        <v>66</v>
      </c>
      <c r="B74" s="109" t="inlineStr">
        <is>
          <t>Greenfield Agrar &amp; Lebensmittel GmbH</t>
        </is>
      </c>
      <c r="C74" s="110" t="inlineStr">
        <is>
          <t>Katharina Wieser</t>
        </is>
      </c>
      <c r="D74" s="111" t="inlineStr">
        <is>
          <t>Verpacker</t>
        </is>
      </c>
    </row>
    <row r="75">
      <c r="A75" s="108" t="n">
        <v>67</v>
      </c>
      <c r="B75" s="109" t="inlineStr">
        <is>
          <t>Greenfield Agrar &amp; Lebensmittel GmbH</t>
        </is>
      </c>
      <c r="C75" s="110" t="inlineStr">
        <is>
          <t>Claudia Gruber</t>
        </is>
      </c>
      <c r="D75" s="111" t="inlineStr">
        <is>
          <t>Produktionsmitarbeiter</t>
        </is>
      </c>
    </row>
    <row r="76">
      <c r="A76" s="108" t="n">
        <v>68</v>
      </c>
      <c r="B76" s="109" t="inlineStr">
        <is>
          <t>Greenfield Agrar &amp; Lebensmittel GmbH</t>
        </is>
      </c>
      <c r="C76" s="110" t="inlineStr">
        <is>
          <t>Lena Wagner</t>
        </is>
      </c>
      <c r="D76" s="111" t="inlineStr">
        <is>
          <t>Staplerfahrer</t>
        </is>
      </c>
    </row>
    <row r="77">
      <c r="A77" s="108" t="n">
        <v>69</v>
      </c>
      <c r="B77" s="109" t="inlineStr">
        <is>
          <t>Greenfield Agrar &amp; Lebensmittel GmbH</t>
        </is>
      </c>
      <c r="C77" s="110" t="inlineStr">
        <is>
          <t>Sabine Steiner</t>
        </is>
      </c>
      <c r="D77" s="111" t="inlineStr">
        <is>
          <t>Erntehelfer</t>
        </is>
      </c>
    </row>
    <row r="78">
      <c r="A78" s="108" t="n">
        <v>70</v>
      </c>
      <c r="B78" s="109" t="inlineStr">
        <is>
          <t>Greenfield Agrar &amp; Lebensmittel GmbH</t>
        </is>
      </c>
      <c r="C78" s="110" t="inlineStr">
        <is>
          <t>Martin Aigner</t>
        </is>
      </c>
      <c r="D78" s="111" t="inlineStr">
        <is>
          <t>Verpacker</t>
        </is>
      </c>
    </row>
    <row r="79">
      <c r="A79" s="112" t="n">
        <v>71</v>
      </c>
      <c r="B79" s="113" t="inlineStr">
        <is>
          <t>Hofer Maschinenbau GmbH</t>
        </is>
      </c>
      <c r="C79" s="114" t="inlineStr">
        <is>
          <t>Katharina Huber</t>
        </is>
      </c>
      <c r="D79" s="115" t="inlineStr">
        <is>
          <t>Zerspanungstechniker</t>
        </is>
      </c>
    </row>
    <row r="80">
      <c r="A80" s="116" t="n">
        <v>72</v>
      </c>
      <c r="B80" s="117" t="inlineStr">
        <is>
          <t>Hofer Maschinenbau GmbH</t>
        </is>
      </c>
      <c r="C80" s="61" t="inlineStr">
        <is>
          <t>Michael Schwarz</t>
        </is>
      </c>
      <c r="D80" s="118" t="inlineStr">
        <is>
          <t>Zerspanungstechniker</t>
        </is>
      </c>
    </row>
    <row r="81">
      <c r="A81" s="116" t="n">
        <v>73</v>
      </c>
      <c r="B81" s="117" t="inlineStr">
        <is>
          <t>Hofer Maschinenbau GmbH</t>
        </is>
      </c>
      <c r="C81" s="61" t="inlineStr">
        <is>
          <t>Julia Lang</t>
        </is>
      </c>
      <c r="D81" s="118" t="inlineStr">
        <is>
          <t>Monteur</t>
        </is>
      </c>
    </row>
    <row r="82">
      <c r="A82" s="116" t="n">
        <v>74</v>
      </c>
      <c r="B82" s="117" t="inlineStr">
        <is>
          <t>Hofer Maschinenbau GmbH</t>
        </is>
      </c>
      <c r="C82" s="61" t="inlineStr">
        <is>
          <t>Florian Baumgartner</t>
        </is>
      </c>
      <c r="D82" s="118" t="inlineStr">
        <is>
          <t>Zerspanungstechniker</t>
        </is>
      </c>
    </row>
    <row r="83">
      <c r="A83" s="116" t="n">
        <v>75</v>
      </c>
      <c r="B83" s="117" t="inlineStr">
        <is>
          <t>Hofer Maschinenbau GmbH</t>
        </is>
      </c>
      <c r="C83" s="61" t="inlineStr">
        <is>
          <t>Lena Sailer</t>
        </is>
      </c>
      <c r="D83" s="118" t="inlineStr">
        <is>
          <t>Industriemechaniker</t>
        </is>
      </c>
    </row>
    <row r="84">
      <c r="A84" s="116" t="n">
        <v>76</v>
      </c>
      <c r="B84" s="117" t="inlineStr">
        <is>
          <t>Hofer Maschinenbau GmbH</t>
        </is>
      </c>
      <c r="C84" s="61" t="inlineStr">
        <is>
          <t>Sarah Hofer</t>
        </is>
      </c>
      <c r="D84" s="118" t="inlineStr">
        <is>
          <t>Industriemechaniker</t>
        </is>
      </c>
    </row>
    <row r="85">
      <c r="A85" s="116" t="n">
        <v>77</v>
      </c>
      <c r="B85" s="117" t="inlineStr">
        <is>
          <t>Hofer Maschinenbau GmbH</t>
        </is>
      </c>
      <c r="C85" s="61" t="inlineStr">
        <is>
          <t>Wolfgang Sailer</t>
        </is>
      </c>
      <c r="D85" s="118" t="inlineStr">
        <is>
          <t>Zerspanungstechniker</t>
        </is>
      </c>
    </row>
    <row r="86">
      <c r="A86" s="116" t="n">
        <v>78</v>
      </c>
      <c r="B86" s="117" t="inlineStr">
        <is>
          <t>Hofer Maschinenbau GmbH</t>
        </is>
      </c>
      <c r="C86" s="61" t="inlineStr">
        <is>
          <t>Sophie Aigner</t>
        </is>
      </c>
      <c r="D86" s="118" t="inlineStr">
        <is>
          <t>Monteur</t>
        </is>
      </c>
    </row>
    <row r="87">
      <c r="A87" s="116" t="n">
        <v>79</v>
      </c>
      <c r="B87" s="117" t="inlineStr">
        <is>
          <t>Hofer Maschinenbau GmbH</t>
        </is>
      </c>
      <c r="C87" s="61" t="inlineStr">
        <is>
          <t>Anna Huber</t>
        </is>
      </c>
      <c r="D87" s="118" t="inlineStr">
        <is>
          <t>Instandhalter</t>
        </is>
      </c>
    </row>
    <row r="88">
      <c r="A88" s="116" t="n">
        <v>80</v>
      </c>
      <c r="B88" s="117" t="inlineStr">
        <is>
          <t>Hofer Maschinenbau GmbH</t>
        </is>
      </c>
      <c r="C88" s="61" t="inlineStr">
        <is>
          <t>Anna Schmid</t>
        </is>
      </c>
      <c r="D88" s="118" t="inlineStr">
        <is>
          <t>Instandhalter</t>
        </is>
      </c>
    </row>
    <row r="89">
      <c r="A89" s="119" t="n">
        <v>81</v>
      </c>
      <c r="B89" s="120" t="inlineStr">
        <is>
          <t>Ilbex Pharma Logistik GmbH</t>
        </is>
      </c>
      <c r="C89" s="121" t="inlineStr">
        <is>
          <t>Simon Lang</t>
        </is>
      </c>
      <c r="D89" s="122" t="inlineStr">
        <is>
          <t>Qualitätskontrolleur</t>
        </is>
      </c>
    </row>
    <row r="90">
      <c r="A90" s="108" t="n">
        <v>82</v>
      </c>
      <c r="B90" s="109" t="inlineStr">
        <is>
          <t>Ilbex Pharma Logistik GmbH</t>
        </is>
      </c>
      <c r="C90" s="110" t="inlineStr">
        <is>
          <t>Wolfgang Fuchs</t>
        </is>
      </c>
      <c r="D90" s="111" t="inlineStr">
        <is>
          <t>Staplerfahrer</t>
        </is>
      </c>
    </row>
    <row r="91">
      <c r="A91" s="108" t="n">
        <v>83</v>
      </c>
      <c r="B91" s="109" t="inlineStr">
        <is>
          <t>Ilbex Pharma Logistik GmbH</t>
        </is>
      </c>
      <c r="C91" s="110" t="inlineStr">
        <is>
          <t>Christian Leitner</t>
        </is>
      </c>
      <c r="D91" s="111" t="inlineStr">
        <is>
          <t>Kommissionierer</t>
        </is>
      </c>
    </row>
    <row r="92">
      <c r="A92" s="108" t="n">
        <v>84</v>
      </c>
      <c r="B92" s="109" t="inlineStr">
        <is>
          <t>Ilbex Pharma Logistik GmbH</t>
        </is>
      </c>
      <c r="C92" s="110" t="inlineStr">
        <is>
          <t>Sarah Aigner</t>
        </is>
      </c>
      <c r="D92" s="111" t="inlineStr">
        <is>
          <t>Staplerfahrer</t>
        </is>
      </c>
    </row>
    <row r="93">
      <c r="A93" s="108" t="n">
        <v>85</v>
      </c>
      <c r="B93" s="109" t="inlineStr">
        <is>
          <t>Ilbex Pharma Logistik GmbH</t>
        </is>
      </c>
      <c r="C93" s="110" t="inlineStr">
        <is>
          <t>Andreas Auer</t>
        </is>
      </c>
      <c r="D93" s="111" t="inlineStr">
        <is>
          <t>Qualitätskontrolleur</t>
        </is>
      </c>
    </row>
    <row r="94">
      <c r="A94" s="108" t="n">
        <v>86</v>
      </c>
      <c r="B94" s="109" t="inlineStr">
        <is>
          <t>Ilbex Pharma Logistik GmbH</t>
        </is>
      </c>
      <c r="C94" s="110" t="inlineStr">
        <is>
          <t>Laura Lang</t>
        </is>
      </c>
      <c r="D94" s="111" t="inlineStr">
        <is>
          <t>Staplerfahrer</t>
        </is>
      </c>
    </row>
    <row r="95">
      <c r="A95" s="108" t="n">
        <v>87</v>
      </c>
      <c r="B95" s="109" t="inlineStr">
        <is>
          <t>Ilbex Pharma Logistik GmbH</t>
        </is>
      </c>
      <c r="C95" s="110" t="inlineStr">
        <is>
          <t>Vanessa Gruber</t>
        </is>
      </c>
      <c r="D95" s="111" t="inlineStr">
        <is>
          <t>Qualitätskontrolleur</t>
        </is>
      </c>
    </row>
    <row r="96">
      <c r="A96" s="108" t="n">
        <v>88</v>
      </c>
      <c r="B96" s="109" t="inlineStr">
        <is>
          <t>Ilbex Pharma Logistik GmbH</t>
        </is>
      </c>
      <c r="C96" s="110" t="inlineStr">
        <is>
          <t>Petra Bauer</t>
        </is>
      </c>
      <c r="D96" s="111" t="inlineStr">
        <is>
          <t>Chargenprüfer</t>
        </is>
      </c>
    </row>
    <row r="97">
      <c r="A97" s="108" t="n">
        <v>89</v>
      </c>
      <c r="B97" s="109" t="inlineStr">
        <is>
          <t>Ilbex Pharma Logistik GmbH</t>
        </is>
      </c>
      <c r="C97" s="110" t="inlineStr">
        <is>
          <t>Thomas Wieser</t>
        </is>
      </c>
      <c r="D97" s="111" t="inlineStr">
        <is>
          <t>Chargenprüfer</t>
        </is>
      </c>
    </row>
    <row r="98">
      <c r="A98" s="108" t="n">
        <v>90</v>
      </c>
      <c r="B98" s="109" t="inlineStr">
        <is>
          <t>Ilbex Pharma Logistik GmbH</t>
        </is>
      </c>
      <c r="C98" s="110" t="inlineStr">
        <is>
          <t>Georg Baumgartner</t>
        </is>
      </c>
      <c r="D98" s="111" t="inlineStr">
        <is>
          <t>Staplerfahrer</t>
        </is>
      </c>
    </row>
    <row r="99">
      <c r="A99" s="112" t="n">
        <v>91</v>
      </c>
      <c r="B99" s="113" t="inlineStr">
        <is>
          <t>Jung Automotive Systems GmbH</t>
        </is>
      </c>
      <c r="C99" s="114" t="inlineStr">
        <is>
          <t>Melanie Hofer</t>
        </is>
      </c>
      <c r="D99" s="115" t="inlineStr">
        <is>
          <t>Karosseriebauer</t>
        </is>
      </c>
    </row>
    <row r="100">
      <c r="A100" s="116" t="n">
        <v>92</v>
      </c>
      <c r="B100" s="117" t="inlineStr">
        <is>
          <t>Jung Automotive Systems GmbH</t>
        </is>
      </c>
      <c r="C100" s="61" t="inlineStr">
        <is>
          <t>Martin Steiner</t>
        </is>
      </c>
      <c r="D100" s="118" t="inlineStr">
        <is>
          <t>Fließbandmitarbeiter</t>
        </is>
      </c>
    </row>
    <row r="101">
      <c r="A101" s="116" t="n">
        <v>93</v>
      </c>
      <c r="B101" s="117" t="inlineStr">
        <is>
          <t>Jung Automotive Systems GmbH</t>
        </is>
      </c>
      <c r="C101" s="61" t="inlineStr">
        <is>
          <t>Wolfgang Weber</t>
        </is>
      </c>
      <c r="D101" s="118" t="inlineStr">
        <is>
          <t>Prozesstechniker</t>
        </is>
      </c>
    </row>
    <row r="102">
      <c r="A102" s="116" t="n">
        <v>94</v>
      </c>
      <c r="B102" s="117" t="inlineStr">
        <is>
          <t>Jung Automotive Systems GmbH</t>
        </is>
      </c>
      <c r="C102" s="61" t="inlineStr">
        <is>
          <t>Bernhard Schwarz</t>
        </is>
      </c>
      <c r="D102" s="118" t="inlineStr">
        <is>
          <t>Fließbandmitarbeiter</t>
        </is>
      </c>
    </row>
    <row r="103">
      <c r="A103" s="116" t="n">
        <v>95</v>
      </c>
      <c r="B103" s="117" t="inlineStr">
        <is>
          <t>Jung Automotive Systems GmbH</t>
        </is>
      </c>
      <c r="C103" s="61" t="inlineStr">
        <is>
          <t>Patrick Berger</t>
        </is>
      </c>
      <c r="D103" s="118" t="inlineStr">
        <is>
          <t>Karosseriebauer</t>
        </is>
      </c>
    </row>
    <row r="104">
      <c r="A104" s="116" t="n">
        <v>96</v>
      </c>
      <c r="B104" s="117" t="inlineStr">
        <is>
          <t>Jung Automotive Systems GmbH</t>
        </is>
      </c>
      <c r="C104" s="61" t="inlineStr">
        <is>
          <t>Patrick Auer</t>
        </is>
      </c>
      <c r="D104" s="118" t="inlineStr">
        <is>
          <t>Lackierer</t>
        </is>
      </c>
    </row>
    <row r="105">
      <c r="A105" s="116" t="n">
        <v>97</v>
      </c>
      <c r="B105" s="117" t="inlineStr">
        <is>
          <t>Jung Automotive Systems GmbH</t>
        </is>
      </c>
      <c r="C105" s="61" t="inlineStr">
        <is>
          <t>Anna Bauer</t>
        </is>
      </c>
      <c r="D105" s="118" t="inlineStr">
        <is>
          <t>Prozesstechniker</t>
        </is>
      </c>
    </row>
    <row r="106">
      <c r="A106" s="116" t="n">
        <v>98</v>
      </c>
      <c r="B106" s="117" t="inlineStr">
        <is>
          <t>Jung Automotive Systems GmbH</t>
        </is>
      </c>
      <c r="C106" s="61" t="inlineStr">
        <is>
          <t>Melanie Reiter</t>
        </is>
      </c>
      <c r="D106" s="118" t="inlineStr">
        <is>
          <t>Lackierer</t>
        </is>
      </c>
    </row>
    <row r="107">
      <c r="A107" s="116" t="n">
        <v>99</v>
      </c>
      <c r="B107" s="117" t="inlineStr">
        <is>
          <t>Jung Automotive Systems GmbH</t>
        </is>
      </c>
      <c r="C107" s="61" t="inlineStr">
        <is>
          <t>Sophie Leitner</t>
        </is>
      </c>
      <c r="D107" s="118" t="inlineStr">
        <is>
          <t>Fließbandmitarbeiter</t>
        </is>
      </c>
    </row>
    <row r="108">
      <c r="A108" s="116" t="n">
        <v>100</v>
      </c>
      <c r="B108" s="117" t="inlineStr">
        <is>
          <t>Jung Automotive Systems GmbH</t>
        </is>
      </c>
      <c r="C108" s="61" t="inlineStr">
        <is>
          <t>Georg Moser</t>
        </is>
      </c>
      <c r="D108" s="118" t="inlineStr">
        <is>
          <t>Fließbandmitarbeiter</t>
        </is>
      </c>
    </row>
  </sheetData>
  <mergeCells count="5">
    <mergeCell ref="A1:D1"/>
    <mergeCell ref="A7:B7"/>
    <mergeCell ref="A5:B5"/>
    <mergeCell ref="A2:D2"/>
    <mergeCell ref="A6:B6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E6B8A"/>
    <outlinePr summaryBelow="1" summaryRight="1"/>
    <pageSetUpPr/>
  </sheetPr>
  <dimension ref="A1:R308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2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outlineLevel="1" width="11" customWidth="1" min="15" max="15"/>
    <col outlineLevel="1" width="11" customWidth="1" min="16" max="16"/>
    <col width="14" customWidth="1" min="17" max="17"/>
    <col width="11" customWidth="1" min="18" max="18"/>
  </cols>
  <sheetData>
    <row r="1" ht="26" customHeight="1">
      <c r="A1" s="1" t="inlineStr">
        <is>
          <t>MONATSABRECHNUNG — Verrechnung, Selbstkosten &amp; DB1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Verrechnung und Selbstkosten je Mitarbeiter direkt untereinander erfassen — DB1 (inkl. DG-Abgaben &amp; Rückstellungen) wird automatisch berechnet.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 ht="6" customHeight="1"/>
    <row r="4" ht="14" customHeight="1">
      <c r="A4" s="103" t="inlineStr">
        <is>
          <t xml:space="preserve"> Verknüpfung aus Stammdaten</t>
        </is>
      </c>
      <c r="D4" s="45" t="inlineStr">
        <is>
          <t xml:space="preserve"> Eingabefeld (bitte je Monat ausfüllen)</t>
        </is>
      </c>
      <c r="G4" s="46" t="inlineStr">
        <is>
          <t xml:space="preserve"> Formel (DB1 &amp; Jahressumme)</t>
        </is>
      </c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Typ</t>
        </is>
      </c>
      <c r="E8" s="107" t="inlineStr">
        <is>
          <t>Jan</t>
        </is>
      </c>
      <c r="F8" s="107" t="inlineStr">
        <is>
          <t>Feb</t>
        </is>
      </c>
      <c r="G8" s="107" t="inlineStr">
        <is>
          <t>Mär</t>
        </is>
      </c>
      <c r="H8" s="107" t="inlineStr">
        <is>
          <t>Apr</t>
        </is>
      </c>
      <c r="I8" s="107" t="inlineStr">
        <is>
          <t>Mai</t>
        </is>
      </c>
      <c r="J8" s="107" t="inlineStr">
        <is>
          <t>Jun</t>
        </is>
      </c>
      <c r="K8" s="107" t="inlineStr">
        <is>
          <t>Jul</t>
        </is>
      </c>
      <c r="L8" s="107" t="inlineStr">
        <is>
          <t>Aug</t>
        </is>
      </c>
      <c r="M8" s="107" t="inlineStr">
        <is>
          <t>Sep</t>
        </is>
      </c>
      <c r="N8" s="107" t="inlineStr">
        <is>
          <t>Okt</t>
        </is>
      </c>
      <c r="O8" s="107" t="inlineStr">
        <is>
          <t>Nov</t>
        </is>
      </c>
      <c r="P8" s="107" t="inlineStr">
        <is>
          <t>Dez</t>
        </is>
      </c>
      <c r="Q8" s="107" t="inlineStr">
        <is>
          <t>Summe Jahr</t>
        </is>
      </c>
      <c r="R8" s="107" t="inlineStr">
        <is>
          <t>DB1-Marge
%</t>
        </is>
      </c>
    </row>
    <row r="9">
      <c r="A9" s="89">
        <f>Stammdaten!A9</f>
        <v/>
      </c>
      <c r="B9" s="67">
        <f>Stammdaten!B9</f>
        <v/>
      </c>
      <c r="C9" s="67">
        <f>Stammdaten!C9</f>
        <v/>
      </c>
      <c r="D9" s="123" t="inlineStr">
        <is>
          <t>Verrechnung</t>
        </is>
      </c>
      <c r="E9" s="58" t="n">
        <v>4388.19</v>
      </c>
      <c r="F9" s="58" t="n">
        <v>4457.46</v>
      </c>
      <c r="G9" s="58" t="n">
        <v>4383.95</v>
      </c>
      <c r="H9" s="58" t="n">
        <v>4227.57</v>
      </c>
      <c r="I9" s="58" t="n">
        <v>4331.69</v>
      </c>
      <c r="J9" s="58" t="n">
        <v>4547.99</v>
      </c>
      <c r="K9" s="58" t="n">
        <v>4299.87</v>
      </c>
      <c r="L9" s="58" t="n">
        <v>4318.48</v>
      </c>
      <c r="M9" s="58" t="n">
        <v>4200.04</v>
      </c>
      <c r="N9" s="58" t="n">
        <v>4319.77</v>
      </c>
      <c r="O9" s="58" t="n">
        <v>4417.62</v>
      </c>
      <c r="P9" s="58" t="n">
        <v>3928.41</v>
      </c>
      <c r="Q9" s="28">
        <f>SUM(E9:P9)</f>
        <v/>
      </c>
    </row>
    <row r="10">
      <c r="A10" s="89">
        <f>Stammdaten!A9</f>
        <v/>
      </c>
      <c r="B10" s="67">
        <f>Stammdaten!B9</f>
        <v/>
      </c>
      <c r="C10" s="67">
        <f>Stammdaten!C9</f>
        <v/>
      </c>
      <c r="D10" s="124" t="inlineStr">
        <is>
          <t>Selbstkosten</t>
        </is>
      </c>
      <c r="E10" s="58" t="n">
        <v>2395.19</v>
      </c>
      <c r="F10" s="58" t="n">
        <v>2573.37</v>
      </c>
      <c r="G10" s="58" t="n">
        <v>2520.88</v>
      </c>
      <c r="H10" s="58" t="n">
        <v>2390.36</v>
      </c>
      <c r="I10" s="58" t="n">
        <v>2408.21</v>
      </c>
      <c r="J10" s="58" t="n">
        <v>2556.68</v>
      </c>
      <c r="K10" s="58" t="n">
        <v>2422.96</v>
      </c>
      <c r="L10" s="58" t="n">
        <v>2408.15</v>
      </c>
      <c r="M10" s="58" t="n">
        <v>2315.64</v>
      </c>
      <c r="N10" s="58" t="n">
        <v>2438.5</v>
      </c>
      <c r="O10" s="58" t="n">
        <v>2477.23</v>
      </c>
      <c r="P10" s="58" t="n">
        <v>2154.63</v>
      </c>
      <c r="Q10" s="28">
        <f>SUM(E10:P10)</f>
        <v/>
      </c>
    </row>
    <row r="11">
      <c r="A11" s="89">
        <f>Stammdaten!A9</f>
        <v/>
      </c>
      <c r="B11" s="67">
        <f>Stammdaten!B9</f>
        <v/>
      </c>
      <c r="C11" s="67">
        <f>Stammdaten!C9</f>
        <v/>
      </c>
      <c r="D11" s="125" t="inlineStr">
        <is>
          <t>DB1</t>
        </is>
      </c>
      <c r="E11" s="40">
        <f>E9-E10-Rückstellungen!D9-Rückstellungen!Q9-Rückstellungen!AD9</f>
        <v/>
      </c>
      <c r="F11" s="40">
        <f>F9-F10-Rückstellungen!E9-Rückstellungen!R9-Rückstellungen!AE9</f>
        <v/>
      </c>
      <c r="G11" s="40">
        <f>G9-G10-Rückstellungen!F9-Rückstellungen!S9-Rückstellungen!AF9</f>
        <v/>
      </c>
      <c r="H11" s="40">
        <f>H9-H10-Rückstellungen!G9-Rückstellungen!T9-Rückstellungen!AG9</f>
        <v/>
      </c>
      <c r="I11" s="40">
        <f>I9-I10-Rückstellungen!H9-Rückstellungen!U9-Rückstellungen!AH9</f>
        <v/>
      </c>
      <c r="J11" s="40">
        <f>J9-J10-Rückstellungen!I9-Rückstellungen!V9-Rückstellungen!AI9</f>
        <v/>
      </c>
      <c r="K11" s="40">
        <f>K9-K10-Rückstellungen!J9-Rückstellungen!W9-Rückstellungen!AJ9</f>
        <v/>
      </c>
      <c r="L11" s="40">
        <f>L9-L10-Rückstellungen!K9-Rückstellungen!X9-Rückstellungen!AK9</f>
        <v/>
      </c>
      <c r="M11" s="40">
        <f>M9-M10-Rückstellungen!L9-Rückstellungen!Y9-Rückstellungen!AL9</f>
        <v/>
      </c>
      <c r="N11" s="40">
        <f>N9-N10-Rückstellungen!M9-Rückstellungen!Z9-Rückstellungen!AM9</f>
        <v/>
      </c>
      <c r="O11" s="40">
        <f>O9-O10-Rückstellungen!N9-Rückstellungen!AA9-Rückstellungen!AN9</f>
        <v/>
      </c>
      <c r="P11" s="40">
        <f>P9-P10-Rückstellungen!O9-Rückstellungen!AB9-Rückstellungen!AO9</f>
        <v/>
      </c>
      <c r="Q11" s="59">
        <f>SUM(E11:P11)</f>
        <v/>
      </c>
      <c r="R11" s="126">
        <f>IFERROR(Q11/Q9,0)</f>
        <v/>
      </c>
    </row>
    <row r="12">
      <c r="A12" s="89">
        <f>Stammdaten!A10</f>
        <v/>
      </c>
      <c r="B12" s="67">
        <f>Stammdaten!B10</f>
        <v/>
      </c>
      <c r="C12" s="67">
        <f>Stammdaten!C10</f>
        <v/>
      </c>
      <c r="D12" s="123" t="inlineStr">
        <is>
          <t>Verrechnung</t>
        </is>
      </c>
      <c r="E12" s="58" t="n">
        <v>4574.47</v>
      </c>
      <c r="F12" s="58" t="n">
        <v>4231.83</v>
      </c>
      <c r="G12" s="58" t="n">
        <v>4414.63</v>
      </c>
      <c r="H12" s="58" t="n">
        <v>4437.03</v>
      </c>
      <c r="I12" s="58" t="n">
        <v>4429.12</v>
      </c>
      <c r="J12" s="58" t="n">
        <v>4251.84</v>
      </c>
      <c r="K12" s="58" t="n">
        <v>3762.1</v>
      </c>
      <c r="L12" s="58" t="n">
        <v>4423.65</v>
      </c>
      <c r="M12" s="58" t="n">
        <v>4481.29</v>
      </c>
      <c r="N12" s="58" t="n">
        <v>4512.93</v>
      </c>
      <c r="O12" s="58" t="n">
        <v>4236.79</v>
      </c>
      <c r="P12" s="58" t="n">
        <v>4003.47</v>
      </c>
      <c r="Q12" s="28">
        <f>SUM(E12:P12)</f>
        <v/>
      </c>
    </row>
    <row r="13">
      <c r="A13" s="89">
        <f>Stammdaten!A10</f>
        <v/>
      </c>
      <c r="B13" s="67">
        <f>Stammdaten!B10</f>
        <v/>
      </c>
      <c r="C13" s="67">
        <f>Stammdaten!C10</f>
        <v/>
      </c>
      <c r="D13" s="124" t="inlineStr">
        <is>
          <t>Selbstkosten</t>
        </is>
      </c>
      <c r="E13" s="58" t="n">
        <v>3017.37</v>
      </c>
      <c r="F13" s="58" t="n">
        <v>2799.81</v>
      </c>
      <c r="G13" s="58" t="n">
        <v>2759.08</v>
      </c>
      <c r="H13" s="58" t="n">
        <v>2886.39</v>
      </c>
      <c r="I13" s="58" t="n">
        <v>2845.3</v>
      </c>
      <c r="J13" s="58" t="n">
        <v>2698</v>
      </c>
      <c r="K13" s="58" t="n">
        <v>2490.97</v>
      </c>
      <c r="L13" s="58" t="n">
        <v>2759.68</v>
      </c>
      <c r="M13" s="58" t="n">
        <v>2950.75</v>
      </c>
      <c r="N13" s="58" t="n">
        <v>2872.53</v>
      </c>
      <c r="O13" s="58" t="n">
        <v>2715.27</v>
      </c>
      <c r="P13" s="58" t="n">
        <v>2512.77</v>
      </c>
      <c r="Q13" s="28">
        <f>SUM(E13:P13)</f>
        <v/>
      </c>
    </row>
    <row r="14">
      <c r="A14" s="89">
        <f>Stammdaten!A10</f>
        <v/>
      </c>
      <c r="B14" s="67">
        <f>Stammdaten!B10</f>
        <v/>
      </c>
      <c r="C14" s="67">
        <f>Stammdaten!C10</f>
        <v/>
      </c>
      <c r="D14" s="125" t="inlineStr">
        <is>
          <t>DB1</t>
        </is>
      </c>
      <c r="E14" s="40">
        <f>E12-E13-Rückstellungen!D10-Rückstellungen!Q10-Rückstellungen!AD10</f>
        <v/>
      </c>
      <c r="F14" s="40">
        <f>F12-F13-Rückstellungen!E10-Rückstellungen!R10-Rückstellungen!AE10</f>
        <v/>
      </c>
      <c r="G14" s="40">
        <f>G12-G13-Rückstellungen!F10-Rückstellungen!S10-Rückstellungen!AF10</f>
        <v/>
      </c>
      <c r="H14" s="40">
        <f>H12-H13-Rückstellungen!G10-Rückstellungen!T10-Rückstellungen!AG10</f>
        <v/>
      </c>
      <c r="I14" s="40">
        <f>I12-I13-Rückstellungen!H10-Rückstellungen!U10-Rückstellungen!AH10</f>
        <v/>
      </c>
      <c r="J14" s="40">
        <f>J12-J13-Rückstellungen!I10-Rückstellungen!V10-Rückstellungen!AI10</f>
        <v/>
      </c>
      <c r="K14" s="40">
        <f>K12-K13-Rückstellungen!J10-Rückstellungen!W10-Rückstellungen!AJ10</f>
        <v/>
      </c>
      <c r="L14" s="40">
        <f>L12-L13-Rückstellungen!K10-Rückstellungen!X10-Rückstellungen!AK10</f>
        <v/>
      </c>
      <c r="M14" s="40">
        <f>M12-M13-Rückstellungen!L10-Rückstellungen!Y10-Rückstellungen!AL10</f>
        <v/>
      </c>
      <c r="N14" s="40">
        <f>N12-N13-Rückstellungen!M10-Rückstellungen!Z10-Rückstellungen!AM10</f>
        <v/>
      </c>
      <c r="O14" s="40">
        <f>O12-O13-Rückstellungen!N10-Rückstellungen!AA10-Rückstellungen!AN10</f>
        <v/>
      </c>
      <c r="P14" s="40">
        <f>P12-P13-Rückstellungen!O10-Rückstellungen!AB10-Rückstellungen!AO10</f>
        <v/>
      </c>
      <c r="Q14" s="59">
        <f>SUM(E14:P14)</f>
        <v/>
      </c>
      <c r="R14" s="126">
        <f>IFERROR(Q14/Q12,0)</f>
        <v/>
      </c>
    </row>
    <row r="15">
      <c r="A15" s="89">
        <f>Stammdaten!A11</f>
        <v/>
      </c>
      <c r="B15" s="67">
        <f>Stammdaten!B11</f>
        <v/>
      </c>
      <c r="C15" s="67">
        <f>Stammdaten!C11</f>
        <v/>
      </c>
      <c r="D15" s="123" t="inlineStr">
        <is>
          <t>Verrechnung</t>
        </is>
      </c>
      <c r="E15" s="58" t="n">
        <v>6921.93</v>
      </c>
      <c r="F15" s="58" t="n">
        <v>6786.33</v>
      </c>
      <c r="G15" s="58" t="n">
        <v>6653.3</v>
      </c>
      <c r="H15" s="58" t="n">
        <v>6637.96</v>
      </c>
      <c r="I15" s="58" t="n">
        <v>6479.12</v>
      </c>
      <c r="J15" s="58" t="n">
        <v>6810.72</v>
      </c>
      <c r="K15" s="58" t="n">
        <v>5859.68</v>
      </c>
      <c r="L15" s="58" t="n">
        <v>6568.19</v>
      </c>
      <c r="M15" s="58" t="n">
        <v>6524.81</v>
      </c>
      <c r="N15" s="58" t="n">
        <v>6798.64</v>
      </c>
      <c r="O15" s="58" t="n">
        <v>6711.44</v>
      </c>
      <c r="P15" s="58" t="n">
        <v>6325.67</v>
      </c>
      <c r="Q15" s="28">
        <f>SUM(E15:P15)</f>
        <v/>
      </c>
    </row>
    <row r="16">
      <c r="A16" s="89">
        <f>Stammdaten!A11</f>
        <v/>
      </c>
      <c r="B16" s="67">
        <f>Stammdaten!B11</f>
        <v/>
      </c>
      <c r="C16" s="67">
        <f>Stammdaten!C11</f>
        <v/>
      </c>
      <c r="D16" s="124" t="inlineStr">
        <is>
          <t>Selbstkosten</t>
        </is>
      </c>
      <c r="E16" s="58" t="n">
        <v>3222.29</v>
      </c>
      <c r="F16" s="58" t="n">
        <v>3186.76</v>
      </c>
      <c r="G16" s="58" t="n">
        <v>3136.72</v>
      </c>
      <c r="H16" s="58" t="n">
        <v>3057.94</v>
      </c>
      <c r="I16" s="58" t="n">
        <v>3081.7</v>
      </c>
      <c r="J16" s="58" t="n">
        <v>3135.7</v>
      </c>
      <c r="K16" s="58" t="n">
        <v>2836.24</v>
      </c>
      <c r="L16" s="58" t="n">
        <v>3164.77</v>
      </c>
      <c r="M16" s="58" t="n">
        <v>2975.31</v>
      </c>
      <c r="N16" s="58" t="n">
        <v>3286.94</v>
      </c>
      <c r="O16" s="58" t="n">
        <v>3205.58</v>
      </c>
      <c r="P16" s="58" t="n">
        <v>2984.77</v>
      </c>
      <c r="Q16" s="28">
        <f>SUM(E16:P16)</f>
        <v/>
      </c>
    </row>
    <row r="17">
      <c r="A17" s="89">
        <f>Stammdaten!A11</f>
        <v/>
      </c>
      <c r="B17" s="67">
        <f>Stammdaten!B11</f>
        <v/>
      </c>
      <c r="C17" s="67">
        <f>Stammdaten!C11</f>
        <v/>
      </c>
      <c r="D17" s="125" t="inlineStr">
        <is>
          <t>DB1</t>
        </is>
      </c>
      <c r="E17" s="40">
        <f>E15-E16-Rückstellungen!D11-Rückstellungen!Q11-Rückstellungen!AD11</f>
        <v/>
      </c>
      <c r="F17" s="40">
        <f>F15-F16-Rückstellungen!E11-Rückstellungen!R11-Rückstellungen!AE11</f>
        <v/>
      </c>
      <c r="G17" s="40">
        <f>G15-G16-Rückstellungen!F11-Rückstellungen!S11-Rückstellungen!AF11</f>
        <v/>
      </c>
      <c r="H17" s="40">
        <f>H15-H16-Rückstellungen!G11-Rückstellungen!T11-Rückstellungen!AG11</f>
        <v/>
      </c>
      <c r="I17" s="40">
        <f>I15-I16-Rückstellungen!H11-Rückstellungen!U11-Rückstellungen!AH11</f>
        <v/>
      </c>
      <c r="J17" s="40">
        <f>J15-J16-Rückstellungen!I11-Rückstellungen!V11-Rückstellungen!AI11</f>
        <v/>
      </c>
      <c r="K17" s="40">
        <f>K15-K16-Rückstellungen!J11-Rückstellungen!W11-Rückstellungen!AJ11</f>
        <v/>
      </c>
      <c r="L17" s="40">
        <f>L15-L16-Rückstellungen!K11-Rückstellungen!X11-Rückstellungen!AK11</f>
        <v/>
      </c>
      <c r="M17" s="40">
        <f>M15-M16-Rückstellungen!L11-Rückstellungen!Y11-Rückstellungen!AL11</f>
        <v/>
      </c>
      <c r="N17" s="40">
        <f>N15-N16-Rückstellungen!M11-Rückstellungen!Z11-Rückstellungen!AM11</f>
        <v/>
      </c>
      <c r="O17" s="40">
        <f>O15-O16-Rückstellungen!N11-Rückstellungen!AA11-Rückstellungen!AN11</f>
        <v/>
      </c>
      <c r="P17" s="40">
        <f>P15-P16-Rückstellungen!O11-Rückstellungen!AB11-Rückstellungen!AO11</f>
        <v/>
      </c>
      <c r="Q17" s="59">
        <f>SUM(E17:P17)</f>
        <v/>
      </c>
      <c r="R17" s="126">
        <f>IFERROR(Q17/Q15,0)</f>
        <v/>
      </c>
    </row>
    <row r="18">
      <c r="A18" s="89">
        <f>Stammdaten!A12</f>
        <v/>
      </c>
      <c r="B18" s="67">
        <f>Stammdaten!B12</f>
        <v/>
      </c>
      <c r="C18" s="67">
        <f>Stammdaten!C12</f>
        <v/>
      </c>
      <c r="D18" s="123" t="inlineStr">
        <is>
          <t>Verrechnung</t>
        </is>
      </c>
      <c r="E18" s="58" t="n">
        <v>4868.81</v>
      </c>
      <c r="F18" s="58" t="n">
        <v>4888.93</v>
      </c>
      <c r="G18" s="58" t="n">
        <v>4638</v>
      </c>
      <c r="H18" s="58" t="n">
        <v>4649.68</v>
      </c>
      <c r="I18" s="58" t="n">
        <v>4675.78</v>
      </c>
      <c r="J18" s="58" t="n">
        <v>4637.27</v>
      </c>
      <c r="K18" s="58" t="n">
        <v>4490.05</v>
      </c>
      <c r="L18" s="58" t="n">
        <v>4882.23</v>
      </c>
      <c r="M18" s="58" t="n">
        <v>4882.46</v>
      </c>
      <c r="N18" s="58" t="n">
        <v>4519.38</v>
      </c>
      <c r="O18" s="58" t="n">
        <v>4519.11</v>
      </c>
      <c r="P18" s="58" t="n">
        <v>3865.46</v>
      </c>
      <c r="Q18" s="28">
        <f>SUM(E18:P18)</f>
        <v/>
      </c>
    </row>
    <row r="19">
      <c r="A19" s="89">
        <f>Stammdaten!A12</f>
        <v/>
      </c>
      <c r="B19" s="67">
        <f>Stammdaten!B12</f>
        <v/>
      </c>
      <c r="C19" s="67">
        <f>Stammdaten!C12</f>
        <v/>
      </c>
      <c r="D19" s="124" t="inlineStr">
        <is>
          <t>Selbstkosten</t>
        </is>
      </c>
      <c r="E19" s="58" t="n">
        <v>2504.73</v>
      </c>
      <c r="F19" s="58" t="n">
        <v>2407.35</v>
      </c>
      <c r="G19" s="58" t="n">
        <v>2383.79</v>
      </c>
      <c r="H19" s="58" t="n">
        <v>2302.43</v>
      </c>
      <c r="I19" s="58" t="n">
        <v>2412.59</v>
      </c>
      <c r="J19" s="58" t="n">
        <v>2404.86</v>
      </c>
      <c r="K19" s="58" t="n">
        <v>2197.34</v>
      </c>
      <c r="L19" s="58" t="n">
        <v>2384.86</v>
      </c>
      <c r="M19" s="58" t="n">
        <v>2420.06</v>
      </c>
      <c r="N19" s="58" t="n">
        <v>2321.09</v>
      </c>
      <c r="O19" s="58" t="n">
        <v>2331.27</v>
      </c>
      <c r="P19" s="58" t="n">
        <v>1988.74</v>
      </c>
      <c r="Q19" s="28">
        <f>SUM(E19:P19)</f>
        <v/>
      </c>
    </row>
    <row r="20">
      <c r="A20" s="89">
        <f>Stammdaten!A12</f>
        <v/>
      </c>
      <c r="B20" s="67">
        <f>Stammdaten!B12</f>
        <v/>
      </c>
      <c r="C20" s="67">
        <f>Stammdaten!C12</f>
        <v/>
      </c>
      <c r="D20" s="125" t="inlineStr">
        <is>
          <t>DB1</t>
        </is>
      </c>
      <c r="E20" s="40">
        <f>E18-E19-Rückstellungen!D12-Rückstellungen!Q12-Rückstellungen!AD12</f>
        <v/>
      </c>
      <c r="F20" s="40">
        <f>F18-F19-Rückstellungen!E12-Rückstellungen!R12-Rückstellungen!AE12</f>
        <v/>
      </c>
      <c r="G20" s="40">
        <f>G18-G19-Rückstellungen!F12-Rückstellungen!S12-Rückstellungen!AF12</f>
        <v/>
      </c>
      <c r="H20" s="40">
        <f>H18-H19-Rückstellungen!G12-Rückstellungen!T12-Rückstellungen!AG12</f>
        <v/>
      </c>
      <c r="I20" s="40">
        <f>I18-I19-Rückstellungen!H12-Rückstellungen!U12-Rückstellungen!AH12</f>
        <v/>
      </c>
      <c r="J20" s="40">
        <f>J18-J19-Rückstellungen!I12-Rückstellungen!V12-Rückstellungen!AI12</f>
        <v/>
      </c>
      <c r="K20" s="40">
        <f>K18-K19-Rückstellungen!J12-Rückstellungen!W12-Rückstellungen!AJ12</f>
        <v/>
      </c>
      <c r="L20" s="40">
        <f>L18-L19-Rückstellungen!K12-Rückstellungen!X12-Rückstellungen!AK12</f>
        <v/>
      </c>
      <c r="M20" s="40">
        <f>M18-M19-Rückstellungen!L12-Rückstellungen!Y12-Rückstellungen!AL12</f>
        <v/>
      </c>
      <c r="N20" s="40">
        <f>N18-N19-Rückstellungen!M12-Rückstellungen!Z12-Rückstellungen!AM12</f>
        <v/>
      </c>
      <c r="O20" s="40">
        <f>O18-O19-Rückstellungen!N12-Rückstellungen!AA12-Rückstellungen!AN12</f>
        <v/>
      </c>
      <c r="P20" s="40">
        <f>P18-P19-Rückstellungen!O12-Rückstellungen!AB12-Rückstellungen!AO12</f>
        <v/>
      </c>
      <c r="Q20" s="59">
        <f>SUM(E20:P20)</f>
        <v/>
      </c>
      <c r="R20" s="126">
        <f>IFERROR(Q20/Q18,0)</f>
        <v/>
      </c>
    </row>
    <row r="21">
      <c r="A21" s="89">
        <f>Stammdaten!A13</f>
        <v/>
      </c>
      <c r="B21" s="67">
        <f>Stammdaten!B13</f>
        <v/>
      </c>
      <c r="C21" s="67">
        <f>Stammdaten!C13</f>
        <v/>
      </c>
      <c r="D21" s="123" t="inlineStr">
        <is>
          <t>Verrechnung</t>
        </is>
      </c>
      <c r="E21" s="58" t="n">
        <v>6595.61</v>
      </c>
      <c r="F21" s="58" t="n">
        <v>6675.53</v>
      </c>
      <c r="G21" s="58" t="n">
        <v>6633.95</v>
      </c>
      <c r="H21" s="58" t="n">
        <v>6757.67</v>
      </c>
      <c r="I21" s="58" t="n">
        <v>6813.89</v>
      </c>
      <c r="J21" s="58" t="n">
        <v>6730.11</v>
      </c>
      <c r="K21" s="58" t="n">
        <v>6078.1</v>
      </c>
      <c r="L21" s="58" t="n">
        <v>6609.1</v>
      </c>
      <c r="M21" s="58" t="n">
        <v>6490.24</v>
      </c>
      <c r="N21" s="58" t="n">
        <v>6894.47</v>
      </c>
      <c r="O21" s="58" t="n">
        <v>6496.35</v>
      </c>
      <c r="P21" s="58" t="n">
        <v>5717.1</v>
      </c>
      <c r="Q21" s="28">
        <f>SUM(E21:P21)</f>
        <v/>
      </c>
    </row>
    <row r="22">
      <c r="A22" s="89">
        <f>Stammdaten!A13</f>
        <v/>
      </c>
      <c r="B22" s="67">
        <f>Stammdaten!B13</f>
        <v/>
      </c>
      <c r="C22" s="67">
        <f>Stammdaten!C13</f>
        <v/>
      </c>
      <c r="D22" s="124" t="inlineStr">
        <is>
          <t>Selbstkosten</t>
        </is>
      </c>
      <c r="E22" s="58" t="n">
        <v>5463.58</v>
      </c>
      <c r="F22" s="58" t="n">
        <v>5322.44</v>
      </c>
      <c r="G22" s="58" t="n">
        <v>5514.73</v>
      </c>
      <c r="H22" s="58" t="n">
        <v>5725.73</v>
      </c>
      <c r="I22" s="58" t="n">
        <v>5747.37</v>
      </c>
      <c r="J22" s="58" t="n">
        <v>5543.33</v>
      </c>
      <c r="K22" s="58" t="n">
        <v>5056.15</v>
      </c>
      <c r="L22" s="58" t="n">
        <v>5325.12</v>
      </c>
      <c r="M22" s="58" t="n">
        <v>5508.13</v>
      </c>
      <c r="N22" s="58" t="n">
        <v>5742.95</v>
      </c>
      <c r="O22" s="58" t="n">
        <v>5211.56</v>
      </c>
      <c r="P22" s="58" t="n">
        <v>4638.1</v>
      </c>
      <c r="Q22" s="28">
        <f>SUM(E22:P22)</f>
        <v/>
      </c>
    </row>
    <row r="23">
      <c r="A23" s="89">
        <f>Stammdaten!A13</f>
        <v/>
      </c>
      <c r="B23" s="67">
        <f>Stammdaten!B13</f>
        <v/>
      </c>
      <c r="C23" s="67">
        <f>Stammdaten!C13</f>
        <v/>
      </c>
      <c r="D23" s="125" t="inlineStr">
        <is>
          <t>DB1</t>
        </is>
      </c>
      <c r="E23" s="40">
        <f>E21-E22-Rückstellungen!D13-Rückstellungen!Q13-Rückstellungen!AD13</f>
        <v/>
      </c>
      <c r="F23" s="40">
        <f>F21-F22-Rückstellungen!E13-Rückstellungen!R13-Rückstellungen!AE13</f>
        <v/>
      </c>
      <c r="G23" s="40">
        <f>G21-G22-Rückstellungen!F13-Rückstellungen!S13-Rückstellungen!AF13</f>
        <v/>
      </c>
      <c r="H23" s="40">
        <f>H21-H22-Rückstellungen!G13-Rückstellungen!T13-Rückstellungen!AG13</f>
        <v/>
      </c>
      <c r="I23" s="40">
        <f>I21-I22-Rückstellungen!H13-Rückstellungen!U13-Rückstellungen!AH13</f>
        <v/>
      </c>
      <c r="J23" s="40">
        <f>J21-J22-Rückstellungen!I13-Rückstellungen!V13-Rückstellungen!AI13</f>
        <v/>
      </c>
      <c r="K23" s="40">
        <f>K21-K22-Rückstellungen!J13-Rückstellungen!W13-Rückstellungen!AJ13</f>
        <v/>
      </c>
      <c r="L23" s="40">
        <f>L21-L22-Rückstellungen!K13-Rückstellungen!X13-Rückstellungen!AK13</f>
        <v/>
      </c>
      <c r="M23" s="40">
        <f>M21-M22-Rückstellungen!L13-Rückstellungen!Y13-Rückstellungen!AL13</f>
        <v/>
      </c>
      <c r="N23" s="40">
        <f>N21-N22-Rückstellungen!M13-Rückstellungen!Z13-Rückstellungen!AM13</f>
        <v/>
      </c>
      <c r="O23" s="40">
        <f>O21-O22-Rückstellungen!N13-Rückstellungen!AA13-Rückstellungen!AN13</f>
        <v/>
      </c>
      <c r="P23" s="40">
        <f>P21-P22-Rückstellungen!O13-Rückstellungen!AB13-Rückstellungen!AO13</f>
        <v/>
      </c>
      <c r="Q23" s="59">
        <f>SUM(E23:P23)</f>
        <v/>
      </c>
      <c r="R23" s="126">
        <f>IFERROR(Q23/Q21,0)</f>
        <v/>
      </c>
    </row>
    <row r="24">
      <c r="A24" s="89">
        <f>Stammdaten!A14</f>
        <v/>
      </c>
      <c r="B24" s="67">
        <f>Stammdaten!B14</f>
        <v/>
      </c>
      <c r="C24" s="67">
        <f>Stammdaten!C14</f>
        <v/>
      </c>
      <c r="D24" s="123" t="inlineStr">
        <is>
          <t>Verrechnung</t>
        </is>
      </c>
      <c r="E24" s="58" t="n">
        <v>3711.47</v>
      </c>
      <c r="F24" s="58" t="n">
        <v>3860.32</v>
      </c>
      <c r="G24" s="58" t="n">
        <v>3687.95</v>
      </c>
      <c r="H24" s="58" t="n">
        <v>3758.53</v>
      </c>
      <c r="I24" s="58" t="n">
        <v>3797.69</v>
      </c>
      <c r="J24" s="58" t="n">
        <v>3707.38</v>
      </c>
      <c r="K24" s="58" t="n">
        <v>3489.56</v>
      </c>
      <c r="L24" s="58" t="n">
        <v>3786.66</v>
      </c>
      <c r="M24" s="58" t="n">
        <v>3814.33</v>
      </c>
      <c r="N24" s="58" t="n">
        <v>3949.93</v>
      </c>
      <c r="O24" s="58" t="n">
        <v>3730.16</v>
      </c>
      <c r="P24" s="58" t="n">
        <v>3529.67</v>
      </c>
      <c r="Q24" s="28">
        <f>SUM(E24:P24)</f>
        <v/>
      </c>
    </row>
    <row r="25">
      <c r="A25" s="89">
        <f>Stammdaten!A14</f>
        <v/>
      </c>
      <c r="B25" s="67">
        <f>Stammdaten!B14</f>
        <v/>
      </c>
      <c r="C25" s="67">
        <f>Stammdaten!C14</f>
        <v/>
      </c>
      <c r="D25" s="124" t="inlineStr">
        <is>
          <t>Selbstkosten</t>
        </is>
      </c>
      <c r="E25" s="58" t="n">
        <v>1875.79</v>
      </c>
      <c r="F25" s="58" t="n">
        <v>1919.3</v>
      </c>
      <c r="G25" s="58" t="n">
        <v>1889.7</v>
      </c>
      <c r="H25" s="58" t="n">
        <v>1935.66</v>
      </c>
      <c r="I25" s="58" t="n">
        <v>1942.38</v>
      </c>
      <c r="J25" s="58" t="n">
        <v>1903.38</v>
      </c>
      <c r="K25" s="58" t="n">
        <v>1823.81</v>
      </c>
      <c r="L25" s="58" t="n">
        <v>1897.11</v>
      </c>
      <c r="M25" s="58" t="n">
        <v>1882.09</v>
      </c>
      <c r="N25" s="58" t="n">
        <v>2076.84</v>
      </c>
      <c r="O25" s="58" t="n">
        <v>1957.9</v>
      </c>
      <c r="P25" s="58" t="n">
        <v>1770.17</v>
      </c>
      <c r="Q25" s="28">
        <f>SUM(E25:P25)</f>
        <v/>
      </c>
    </row>
    <row r="26">
      <c r="A26" s="89">
        <f>Stammdaten!A14</f>
        <v/>
      </c>
      <c r="B26" s="67">
        <f>Stammdaten!B14</f>
        <v/>
      </c>
      <c r="C26" s="67">
        <f>Stammdaten!C14</f>
        <v/>
      </c>
      <c r="D26" s="125" t="inlineStr">
        <is>
          <t>DB1</t>
        </is>
      </c>
      <c r="E26" s="40">
        <f>E24-E25-Rückstellungen!D14-Rückstellungen!Q14-Rückstellungen!AD14</f>
        <v/>
      </c>
      <c r="F26" s="40">
        <f>F24-F25-Rückstellungen!E14-Rückstellungen!R14-Rückstellungen!AE14</f>
        <v/>
      </c>
      <c r="G26" s="40">
        <f>G24-G25-Rückstellungen!F14-Rückstellungen!S14-Rückstellungen!AF14</f>
        <v/>
      </c>
      <c r="H26" s="40">
        <f>H24-H25-Rückstellungen!G14-Rückstellungen!T14-Rückstellungen!AG14</f>
        <v/>
      </c>
      <c r="I26" s="40">
        <f>I24-I25-Rückstellungen!H14-Rückstellungen!U14-Rückstellungen!AH14</f>
        <v/>
      </c>
      <c r="J26" s="40">
        <f>J24-J25-Rückstellungen!I14-Rückstellungen!V14-Rückstellungen!AI14</f>
        <v/>
      </c>
      <c r="K26" s="40">
        <f>K24-K25-Rückstellungen!J14-Rückstellungen!W14-Rückstellungen!AJ14</f>
        <v/>
      </c>
      <c r="L26" s="40">
        <f>L24-L25-Rückstellungen!K14-Rückstellungen!X14-Rückstellungen!AK14</f>
        <v/>
      </c>
      <c r="M26" s="40">
        <f>M24-M25-Rückstellungen!L14-Rückstellungen!Y14-Rückstellungen!AL14</f>
        <v/>
      </c>
      <c r="N26" s="40">
        <f>N24-N25-Rückstellungen!M14-Rückstellungen!Z14-Rückstellungen!AM14</f>
        <v/>
      </c>
      <c r="O26" s="40">
        <f>O24-O25-Rückstellungen!N14-Rückstellungen!AA14-Rückstellungen!AN14</f>
        <v/>
      </c>
      <c r="P26" s="40">
        <f>P24-P25-Rückstellungen!O14-Rückstellungen!AB14-Rückstellungen!AO14</f>
        <v/>
      </c>
      <c r="Q26" s="59">
        <f>SUM(E26:P26)</f>
        <v/>
      </c>
      <c r="R26" s="126">
        <f>IFERROR(Q26/Q24,0)</f>
        <v/>
      </c>
    </row>
    <row r="27">
      <c r="A27" s="89">
        <f>Stammdaten!A15</f>
        <v/>
      </c>
      <c r="B27" s="67">
        <f>Stammdaten!B15</f>
        <v/>
      </c>
      <c r="C27" s="67">
        <f>Stammdaten!C15</f>
        <v/>
      </c>
      <c r="D27" s="123" t="inlineStr">
        <is>
          <t>Verrechnung</t>
        </is>
      </c>
      <c r="E27" s="58" t="n">
        <v>6759.4</v>
      </c>
      <c r="F27" s="58" t="n">
        <v>6707.1</v>
      </c>
      <c r="G27" s="58" t="n">
        <v>6539.5</v>
      </c>
      <c r="H27" s="58" t="n">
        <v>6768.24</v>
      </c>
      <c r="I27" s="58" t="n">
        <v>7055.34</v>
      </c>
      <c r="J27" s="58" t="n">
        <v>7121.74</v>
      </c>
      <c r="K27" s="58" t="n">
        <v>6609.41</v>
      </c>
      <c r="L27" s="58" t="n">
        <v>7000.69</v>
      </c>
      <c r="M27" s="58" t="n">
        <v>7016.71</v>
      </c>
      <c r="N27" s="58" t="n">
        <v>6642.4</v>
      </c>
      <c r="O27" s="58" t="n">
        <v>6988.35</v>
      </c>
      <c r="P27" s="58" t="n">
        <v>6158.33</v>
      </c>
      <c r="Q27" s="28">
        <f>SUM(E27:P27)</f>
        <v/>
      </c>
    </row>
    <row r="28">
      <c r="A28" s="89">
        <f>Stammdaten!A15</f>
        <v/>
      </c>
      <c r="B28" s="67">
        <f>Stammdaten!B15</f>
        <v/>
      </c>
      <c r="C28" s="67">
        <f>Stammdaten!C15</f>
        <v/>
      </c>
      <c r="D28" s="124" t="inlineStr">
        <is>
          <t>Selbstkosten</t>
        </is>
      </c>
      <c r="E28" s="58" t="n">
        <v>3120.17</v>
      </c>
      <c r="F28" s="58" t="n">
        <v>3170.14</v>
      </c>
      <c r="G28" s="58" t="n">
        <v>3118.69</v>
      </c>
      <c r="H28" s="58" t="n">
        <v>3047.14</v>
      </c>
      <c r="I28" s="58" t="n">
        <v>3352.85</v>
      </c>
      <c r="J28" s="58" t="n">
        <v>3415</v>
      </c>
      <c r="K28" s="58" t="n">
        <v>3167.68</v>
      </c>
      <c r="L28" s="58" t="n">
        <v>3202.26</v>
      </c>
      <c r="M28" s="58" t="n">
        <v>3207.06</v>
      </c>
      <c r="N28" s="58" t="n">
        <v>3042.8</v>
      </c>
      <c r="O28" s="58" t="n">
        <v>3318.55</v>
      </c>
      <c r="P28" s="58" t="n">
        <v>2790.36</v>
      </c>
      <c r="Q28" s="28">
        <f>SUM(E28:P28)</f>
        <v/>
      </c>
    </row>
    <row r="29">
      <c r="A29" s="89">
        <f>Stammdaten!A15</f>
        <v/>
      </c>
      <c r="B29" s="67">
        <f>Stammdaten!B15</f>
        <v/>
      </c>
      <c r="C29" s="67">
        <f>Stammdaten!C15</f>
        <v/>
      </c>
      <c r="D29" s="125" t="inlineStr">
        <is>
          <t>DB1</t>
        </is>
      </c>
      <c r="E29" s="40">
        <f>E27-E28-Rückstellungen!D15-Rückstellungen!Q15-Rückstellungen!AD15</f>
        <v/>
      </c>
      <c r="F29" s="40">
        <f>F27-F28-Rückstellungen!E15-Rückstellungen!R15-Rückstellungen!AE15</f>
        <v/>
      </c>
      <c r="G29" s="40">
        <f>G27-G28-Rückstellungen!F15-Rückstellungen!S15-Rückstellungen!AF15</f>
        <v/>
      </c>
      <c r="H29" s="40">
        <f>H27-H28-Rückstellungen!G15-Rückstellungen!T15-Rückstellungen!AG15</f>
        <v/>
      </c>
      <c r="I29" s="40">
        <f>I27-I28-Rückstellungen!H15-Rückstellungen!U15-Rückstellungen!AH15</f>
        <v/>
      </c>
      <c r="J29" s="40">
        <f>J27-J28-Rückstellungen!I15-Rückstellungen!V15-Rückstellungen!AI15</f>
        <v/>
      </c>
      <c r="K29" s="40">
        <f>K27-K28-Rückstellungen!J15-Rückstellungen!W15-Rückstellungen!AJ15</f>
        <v/>
      </c>
      <c r="L29" s="40">
        <f>L27-L28-Rückstellungen!K15-Rückstellungen!X15-Rückstellungen!AK15</f>
        <v/>
      </c>
      <c r="M29" s="40">
        <f>M27-M28-Rückstellungen!L15-Rückstellungen!Y15-Rückstellungen!AL15</f>
        <v/>
      </c>
      <c r="N29" s="40">
        <f>N27-N28-Rückstellungen!M15-Rückstellungen!Z15-Rückstellungen!AM15</f>
        <v/>
      </c>
      <c r="O29" s="40">
        <f>O27-O28-Rückstellungen!N15-Rückstellungen!AA15-Rückstellungen!AN15</f>
        <v/>
      </c>
      <c r="P29" s="40">
        <f>P27-P28-Rückstellungen!O15-Rückstellungen!AB15-Rückstellungen!AO15</f>
        <v/>
      </c>
      <c r="Q29" s="59">
        <f>SUM(E29:P29)</f>
        <v/>
      </c>
      <c r="R29" s="126">
        <f>IFERROR(Q29/Q27,0)</f>
        <v/>
      </c>
    </row>
    <row r="30">
      <c r="A30" s="89">
        <f>Stammdaten!A16</f>
        <v/>
      </c>
      <c r="B30" s="67">
        <f>Stammdaten!B16</f>
        <v/>
      </c>
      <c r="C30" s="67">
        <f>Stammdaten!C16</f>
        <v/>
      </c>
      <c r="D30" s="123" t="inlineStr">
        <is>
          <t>Verrechnung</t>
        </is>
      </c>
      <c r="E30" s="58" t="n">
        <v>5400.39</v>
      </c>
      <c r="F30" s="58" t="n">
        <v>5449.88</v>
      </c>
      <c r="G30" s="58" t="n">
        <v>5548.45</v>
      </c>
      <c r="H30" s="58" t="n">
        <v>5484.89</v>
      </c>
      <c r="I30" s="58" t="n">
        <v>5825.91</v>
      </c>
      <c r="J30" s="58" t="n">
        <v>5636.81</v>
      </c>
      <c r="K30" s="58" t="n">
        <v>5083.56</v>
      </c>
      <c r="L30" s="58" t="n">
        <v>5871.8</v>
      </c>
      <c r="M30" s="58" t="n">
        <v>5822.85</v>
      </c>
      <c r="N30" s="58" t="n">
        <v>5619.92</v>
      </c>
      <c r="O30" s="58" t="n">
        <v>5764.18</v>
      </c>
      <c r="P30" s="58" t="n">
        <v>5329.89</v>
      </c>
      <c r="Q30" s="28">
        <f>SUM(E30:P30)</f>
        <v/>
      </c>
    </row>
    <row r="31">
      <c r="A31" s="89">
        <f>Stammdaten!A16</f>
        <v/>
      </c>
      <c r="B31" s="67">
        <f>Stammdaten!B16</f>
        <v/>
      </c>
      <c r="C31" s="67">
        <f>Stammdaten!C16</f>
        <v/>
      </c>
      <c r="D31" s="124" t="inlineStr">
        <is>
          <t>Selbstkosten</t>
        </is>
      </c>
      <c r="E31" s="58" t="n">
        <v>4399.39</v>
      </c>
      <c r="F31" s="58" t="n">
        <v>4609.76</v>
      </c>
      <c r="G31" s="58" t="n">
        <v>4536.1</v>
      </c>
      <c r="H31" s="58" t="n">
        <v>4600.7</v>
      </c>
      <c r="I31" s="58" t="n">
        <v>4746.36</v>
      </c>
      <c r="J31" s="58" t="n">
        <v>4562.17</v>
      </c>
      <c r="K31" s="58" t="n">
        <v>4309.97</v>
      </c>
      <c r="L31" s="58" t="n">
        <v>4759.96</v>
      </c>
      <c r="M31" s="58" t="n">
        <v>4890.08</v>
      </c>
      <c r="N31" s="58" t="n">
        <v>4485.01</v>
      </c>
      <c r="O31" s="58" t="n">
        <v>4649.77</v>
      </c>
      <c r="P31" s="58" t="n">
        <v>4351.89</v>
      </c>
      <c r="Q31" s="28">
        <f>SUM(E31:P31)</f>
        <v/>
      </c>
    </row>
    <row r="32">
      <c r="A32" s="89">
        <f>Stammdaten!A16</f>
        <v/>
      </c>
      <c r="B32" s="67">
        <f>Stammdaten!B16</f>
        <v/>
      </c>
      <c r="C32" s="67">
        <f>Stammdaten!C16</f>
        <v/>
      </c>
      <c r="D32" s="125" t="inlineStr">
        <is>
          <t>DB1</t>
        </is>
      </c>
      <c r="E32" s="40">
        <f>E30-E31-Rückstellungen!D16-Rückstellungen!Q16-Rückstellungen!AD16</f>
        <v/>
      </c>
      <c r="F32" s="40">
        <f>F30-F31-Rückstellungen!E16-Rückstellungen!R16-Rückstellungen!AE16</f>
        <v/>
      </c>
      <c r="G32" s="40">
        <f>G30-G31-Rückstellungen!F16-Rückstellungen!S16-Rückstellungen!AF16</f>
        <v/>
      </c>
      <c r="H32" s="40">
        <f>H30-H31-Rückstellungen!G16-Rückstellungen!T16-Rückstellungen!AG16</f>
        <v/>
      </c>
      <c r="I32" s="40">
        <f>I30-I31-Rückstellungen!H16-Rückstellungen!U16-Rückstellungen!AH16</f>
        <v/>
      </c>
      <c r="J32" s="40">
        <f>J30-J31-Rückstellungen!I16-Rückstellungen!V16-Rückstellungen!AI16</f>
        <v/>
      </c>
      <c r="K32" s="40">
        <f>K30-K31-Rückstellungen!J16-Rückstellungen!W16-Rückstellungen!AJ16</f>
        <v/>
      </c>
      <c r="L32" s="40">
        <f>L30-L31-Rückstellungen!K16-Rückstellungen!X16-Rückstellungen!AK16</f>
        <v/>
      </c>
      <c r="M32" s="40">
        <f>M30-M31-Rückstellungen!L16-Rückstellungen!Y16-Rückstellungen!AL16</f>
        <v/>
      </c>
      <c r="N32" s="40">
        <f>N30-N31-Rückstellungen!M16-Rückstellungen!Z16-Rückstellungen!AM16</f>
        <v/>
      </c>
      <c r="O32" s="40">
        <f>O30-O31-Rückstellungen!N16-Rückstellungen!AA16-Rückstellungen!AN16</f>
        <v/>
      </c>
      <c r="P32" s="40">
        <f>P30-P31-Rückstellungen!O16-Rückstellungen!AB16-Rückstellungen!AO16</f>
        <v/>
      </c>
      <c r="Q32" s="59">
        <f>SUM(E32:P32)</f>
        <v/>
      </c>
      <c r="R32" s="126">
        <f>IFERROR(Q32/Q30,0)</f>
        <v/>
      </c>
    </row>
    <row r="33">
      <c r="A33" s="89">
        <f>Stammdaten!A17</f>
        <v/>
      </c>
      <c r="B33" s="67">
        <f>Stammdaten!B17</f>
        <v/>
      </c>
      <c r="C33" s="67">
        <f>Stammdaten!C17</f>
        <v/>
      </c>
      <c r="D33" s="123" t="inlineStr">
        <is>
          <t>Verrechnung</t>
        </is>
      </c>
      <c r="E33" s="58" t="n">
        <v>6278.08</v>
      </c>
      <c r="F33" s="58" t="n">
        <v>6124.27</v>
      </c>
      <c r="G33" s="58" t="n">
        <v>6479.25</v>
      </c>
      <c r="H33" s="58" t="n">
        <v>6270.39</v>
      </c>
      <c r="I33" s="58" t="n">
        <v>6264.97</v>
      </c>
      <c r="J33" s="58" t="n">
        <v>6321.73</v>
      </c>
      <c r="K33" s="58" t="n">
        <v>6010.53</v>
      </c>
      <c r="L33" s="58" t="n">
        <v>6421.72</v>
      </c>
      <c r="M33" s="58" t="n">
        <v>6317.63</v>
      </c>
      <c r="N33" s="58" t="n">
        <v>6422.62</v>
      </c>
      <c r="O33" s="58" t="n">
        <v>6079.86</v>
      </c>
      <c r="P33" s="58" t="n">
        <v>5933.44</v>
      </c>
      <c r="Q33" s="28">
        <f>SUM(E33:P33)</f>
        <v/>
      </c>
    </row>
    <row r="34">
      <c r="A34" s="89">
        <f>Stammdaten!A17</f>
        <v/>
      </c>
      <c r="B34" s="67">
        <f>Stammdaten!B17</f>
        <v/>
      </c>
      <c r="C34" s="67">
        <f>Stammdaten!C17</f>
        <v/>
      </c>
      <c r="D34" s="124" t="inlineStr">
        <is>
          <t>Selbstkosten</t>
        </is>
      </c>
      <c r="E34" s="58" t="n">
        <v>2865.53</v>
      </c>
      <c r="F34" s="58" t="n">
        <v>2815.94</v>
      </c>
      <c r="G34" s="58" t="n">
        <v>2956.87</v>
      </c>
      <c r="H34" s="58" t="n">
        <v>2937.84</v>
      </c>
      <c r="I34" s="58" t="n">
        <v>2942.65</v>
      </c>
      <c r="J34" s="58" t="n">
        <v>2958.01</v>
      </c>
      <c r="K34" s="58" t="n">
        <v>2810.56</v>
      </c>
      <c r="L34" s="58" t="n">
        <v>3008.09</v>
      </c>
      <c r="M34" s="58" t="n">
        <v>2972.74</v>
      </c>
      <c r="N34" s="58" t="n">
        <v>2900.83</v>
      </c>
      <c r="O34" s="58" t="n">
        <v>2730.41</v>
      </c>
      <c r="P34" s="58" t="n">
        <v>2702.54</v>
      </c>
      <c r="Q34" s="28">
        <f>SUM(E34:P34)</f>
        <v/>
      </c>
    </row>
    <row r="35">
      <c r="A35" s="89">
        <f>Stammdaten!A17</f>
        <v/>
      </c>
      <c r="B35" s="67">
        <f>Stammdaten!B17</f>
        <v/>
      </c>
      <c r="C35" s="67">
        <f>Stammdaten!C17</f>
        <v/>
      </c>
      <c r="D35" s="125" t="inlineStr">
        <is>
          <t>DB1</t>
        </is>
      </c>
      <c r="E35" s="40">
        <f>E33-E34-Rückstellungen!D17-Rückstellungen!Q17-Rückstellungen!AD17</f>
        <v/>
      </c>
      <c r="F35" s="40">
        <f>F33-F34-Rückstellungen!E17-Rückstellungen!R17-Rückstellungen!AE17</f>
        <v/>
      </c>
      <c r="G35" s="40">
        <f>G33-G34-Rückstellungen!F17-Rückstellungen!S17-Rückstellungen!AF17</f>
        <v/>
      </c>
      <c r="H35" s="40">
        <f>H33-H34-Rückstellungen!G17-Rückstellungen!T17-Rückstellungen!AG17</f>
        <v/>
      </c>
      <c r="I35" s="40">
        <f>I33-I34-Rückstellungen!H17-Rückstellungen!U17-Rückstellungen!AH17</f>
        <v/>
      </c>
      <c r="J35" s="40">
        <f>J33-J34-Rückstellungen!I17-Rückstellungen!V17-Rückstellungen!AI17</f>
        <v/>
      </c>
      <c r="K35" s="40">
        <f>K33-K34-Rückstellungen!J17-Rückstellungen!W17-Rückstellungen!AJ17</f>
        <v/>
      </c>
      <c r="L35" s="40">
        <f>L33-L34-Rückstellungen!K17-Rückstellungen!X17-Rückstellungen!AK17</f>
        <v/>
      </c>
      <c r="M35" s="40">
        <f>M33-M34-Rückstellungen!L17-Rückstellungen!Y17-Rückstellungen!AL17</f>
        <v/>
      </c>
      <c r="N35" s="40">
        <f>N33-N34-Rückstellungen!M17-Rückstellungen!Z17-Rückstellungen!AM17</f>
        <v/>
      </c>
      <c r="O35" s="40">
        <f>O33-O34-Rückstellungen!N17-Rückstellungen!AA17-Rückstellungen!AN17</f>
        <v/>
      </c>
      <c r="P35" s="40">
        <f>P33-P34-Rückstellungen!O17-Rückstellungen!AB17-Rückstellungen!AO17</f>
        <v/>
      </c>
      <c r="Q35" s="59">
        <f>SUM(E35:P35)</f>
        <v/>
      </c>
      <c r="R35" s="126">
        <f>IFERROR(Q35/Q33,0)</f>
        <v/>
      </c>
    </row>
    <row r="36">
      <c r="A36" s="89">
        <f>Stammdaten!A18</f>
        <v/>
      </c>
      <c r="B36" s="67">
        <f>Stammdaten!B18</f>
        <v/>
      </c>
      <c r="C36" s="67">
        <f>Stammdaten!C18</f>
        <v/>
      </c>
      <c r="D36" s="123" t="inlineStr">
        <is>
          <t>Verrechnung</t>
        </is>
      </c>
      <c r="E36" s="58" t="n">
        <v>5561.92</v>
      </c>
      <c r="F36" s="58" t="n">
        <v>5365.99</v>
      </c>
      <c r="G36" s="58" t="n">
        <v>5455.25</v>
      </c>
      <c r="H36" s="58" t="n">
        <v>5420.93</v>
      </c>
      <c r="I36" s="58" t="n">
        <v>5402.13</v>
      </c>
      <c r="J36" s="58" t="n">
        <v>5241.29</v>
      </c>
      <c r="K36" s="58" t="n">
        <v>4660.94</v>
      </c>
      <c r="L36" s="58" t="n">
        <v>5281</v>
      </c>
      <c r="M36" s="58" t="n">
        <v>5283.23</v>
      </c>
      <c r="N36" s="58" t="n">
        <v>5416.09</v>
      </c>
      <c r="O36" s="58" t="n">
        <v>5239.44</v>
      </c>
      <c r="P36" s="58" t="n">
        <v>5303.25</v>
      </c>
      <c r="Q36" s="28">
        <f>SUM(E36:P36)</f>
        <v/>
      </c>
    </row>
    <row r="37">
      <c r="A37" s="89">
        <f>Stammdaten!A18</f>
        <v/>
      </c>
      <c r="B37" s="67">
        <f>Stammdaten!B18</f>
        <v/>
      </c>
      <c r="C37" s="67">
        <f>Stammdaten!C18</f>
        <v/>
      </c>
      <c r="D37" s="124" t="inlineStr">
        <is>
          <t>Selbstkosten</t>
        </is>
      </c>
      <c r="E37" s="58" t="n">
        <v>2823.09</v>
      </c>
      <c r="F37" s="58" t="n">
        <v>2703.22</v>
      </c>
      <c r="G37" s="58" t="n">
        <v>2804.89</v>
      </c>
      <c r="H37" s="58" t="n">
        <v>2777.47</v>
      </c>
      <c r="I37" s="58" t="n">
        <v>2787.69</v>
      </c>
      <c r="J37" s="58" t="n">
        <v>2659.21</v>
      </c>
      <c r="K37" s="58" t="n">
        <v>2290.94</v>
      </c>
      <c r="L37" s="58" t="n">
        <v>2732.9</v>
      </c>
      <c r="M37" s="58" t="n">
        <v>2719.45</v>
      </c>
      <c r="N37" s="58" t="n">
        <v>2628.95</v>
      </c>
      <c r="O37" s="58" t="n">
        <v>2709.06</v>
      </c>
      <c r="P37" s="58" t="n">
        <v>2579.94</v>
      </c>
      <c r="Q37" s="28">
        <f>SUM(E37:P37)</f>
        <v/>
      </c>
    </row>
    <row r="38">
      <c r="A38" s="89">
        <f>Stammdaten!A18</f>
        <v/>
      </c>
      <c r="B38" s="67">
        <f>Stammdaten!B18</f>
        <v/>
      </c>
      <c r="C38" s="67">
        <f>Stammdaten!C18</f>
        <v/>
      </c>
      <c r="D38" s="125" t="inlineStr">
        <is>
          <t>DB1</t>
        </is>
      </c>
      <c r="E38" s="40">
        <f>E36-E37-Rückstellungen!D18-Rückstellungen!Q18-Rückstellungen!AD18</f>
        <v/>
      </c>
      <c r="F38" s="40">
        <f>F36-F37-Rückstellungen!E18-Rückstellungen!R18-Rückstellungen!AE18</f>
        <v/>
      </c>
      <c r="G38" s="40">
        <f>G36-G37-Rückstellungen!F18-Rückstellungen!S18-Rückstellungen!AF18</f>
        <v/>
      </c>
      <c r="H38" s="40">
        <f>H36-H37-Rückstellungen!G18-Rückstellungen!T18-Rückstellungen!AG18</f>
        <v/>
      </c>
      <c r="I38" s="40">
        <f>I36-I37-Rückstellungen!H18-Rückstellungen!U18-Rückstellungen!AH18</f>
        <v/>
      </c>
      <c r="J38" s="40">
        <f>J36-J37-Rückstellungen!I18-Rückstellungen!V18-Rückstellungen!AI18</f>
        <v/>
      </c>
      <c r="K38" s="40">
        <f>K36-K37-Rückstellungen!J18-Rückstellungen!W18-Rückstellungen!AJ18</f>
        <v/>
      </c>
      <c r="L38" s="40">
        <f>L36-L37-Rückstellungen!K18-Rückstellungen!X18-Rückstellungen!AK18</f>
        <v/>
      </c>
      <c r="M38" s="40">
        <f>M36-M37-Rückstellungen!L18-Rückstellungen!Y18-Rückstellungen!AL18</f>
        <v/>
      </c>
      <c r="N38" s="40">
        <f>N36-N37-Rückstellungen!M18-Rückstellungen!Z18-Rückstellungen!AM18</f>
        <v/>
      </c>
      <c r="O38" s="40">
        <f>O36-O37-Rückstellungen!N18-Rückstellungen!AA18-Rückstellungen!AN18</f>
        <v/>
      </c>
      <c r="P38" s="40">
        <f>P36-P37-Rückstellungen!O18-Rückstellungen!AB18-Rückstellungen!AO18</f>
        <v/>
      </c>
      <c r="Q38" s="59">
        <f>SUM(E38:P38)</f>
        <v/>
      </c>
      <c r="R38" s="126">
        <f>IFERROR(Q38/Q36,0)</f>
        <v/>
      </c>
    </row>
    <row r="39">
      <c r="A39" s="91">
        <f>Stammdaten!A19</f>
        <v/>
      </c>
      <c r="B39" s="73">
        <f>Stammdaten!B19</f>
        <v/>
      </c>
      <c r="C39" s="73">
        <f>Stammdaten!C19</f>
        <v/>
      </c>
      <c r="D39" s="127" t="inlineStr">
        <is>
          <t>Verrechnung</t>
        </is>
      </c>
      <c r="E39" s="58" t="n">
        <v>4127.07</v>
      </c>
      <c r="F39" s="58" t="n">
        <v>4488.37</v>
      </c>
      <c r="G39" s="58" t="n">
        <v>4186.61</v>
      </c>
      <c r="H39" s="58" t="n">
        <v>4321.01</v>
      </c>
      <c r="I39" s="58" t="n">
        <v>4420.68</v>
      </c>
      <c r="J39" s="58" t="n">
        <v>4405.79</v>
      </c>
      <c r="K39" s="58" t="n">
        <v>3883.61</v>
      </c>
      <c r="L39" s="58" t="n">
        <v>4487.87</v>
      </c>
      <c r="M39" s="58" t="n">
        <v>4415.09</v>
      </c>
      <c r="N39" s="58" t="n">
        <v>4441.25</v>
      </c>
      <c r="O39" s="58" t="n">
        <v>4245.54</v>
      </c>
      <c r="P39" s="58" t="n">
        <v>3787.3</v>
      </c>
      <c r="Q39" s="28">
        <f>SUM(E39:P39)</f>
        <v/>
      </c>
    </row>
    <row r="40">
      <c r="A40" s="91">
        <f>Stammdaten!A19</f>
        <v/>
      </c>
      <c r="B40" s="73">
        <f>Stammdaten!B19</f>
        <v/>
      </c>
      <c r="C40" s="73">
        <f>Stammdaten!C19</f>
        <v/>
      </c>
      <c r="D40" s="128" t="inlineStr">
        <is>
          <t>Selbstkosten</t>
        </is>
      </c>
      <c r="E40" s="58" t="n">
        <v>2362.36</v>
      </c>
      <c r="F40" s="58" t="n">
        <v>2651.28</v>
      </c>
      <c r="G40" s="58" t="n">
        <v>2480.26</v>
      </c>
      <c r="H40" s="58" t="n">
        <v>2517.45</v>
      </c>
      <c r="I40" s="58" t="n">
        <v>2512.51</v>
      </c>
      <c r="J40" s="58" t="n">
        <v>2602.79</v>
      </c>
      <c r="K40" s="58" t="n">
        <v>2324.91</v>
      </c>
      <c r="L40" s="58" t="n">
        <v>2606.31</v>
      </c>
      <c r="M40" s="58" t="n">
        <v>2487.41</v>
      </c>
      <c r="N40" s="58" t="n">
        <v>2506.07</v>
      </c>
      <c r="O40" s="58" t="n">
        <v>2508.09</v>
      </c>
      <c r="P40" s="58" t="n">
        <v>2157.47</v>
      </c>
      <c r="Q40" s="28">
        <f>SUM(E40:P40)</f>
        <v/>
      </c>
    </row>
    <row r="41">
      <c r="A41" s="129">
        <f>Stammdaten!A19</f>
        <v/>
      </c>
      <c r="B41" s="130">
        <f>Stammdaten!B19</f>
        <v/>
      </c>
      <c r="C41" s="130">
        <f>Stammdaten!C19</f>
        <v/>
      </c>
      <c r="D41" s="131" t="inlineStr">
        <is>
          <t>DB1</t>
        </is>
      </c>
      <c r="E41" s="132">
        <f>E39-E40-Rückstellungen!D19-Rückstellungen!Q19-Rückstellungen!AD19</f>
        <v/>
      </c>
      <c r="F41" s="132">
        <f>F39-F40-Rückstellungen!E19-Rückstellungen!R19-Rückstellungen!AE19</f>
        <v/>
      </c>
      <c r="G41" s="132">
        <f>G39-G40-Rückstellungen!F19-Rückstellungen!S19-Rückstellungen!AF19</f>
        <v/>
      </c>
      <c r="H41" s="132">
        <f>H39-H40-Rückstellungen!G19-Rückstellungen!T19-Rückstellungen!AG19</f>
        <v/>
      </c>
      <c r="I41" s="132">
        <f>I39-I40-Rückstellungen!H19-Rückstellungen!U19-Rückstellungen!AH19</f>
        <v/>
      </c>
      <c r="J41" s="132">
        <f>J39-J40-Rückstellungen!I19-Rückstellungen!V19-Rückstellungen!AI19</f>
        <v/>
      </c>
      <c r="K41" s="132">
        <f>K39-K40-Rückstellungen!J19-Rückstellungen!W19-Rückstellungen!AJ19</f>
        <v/>
      </c>
      <c r="L41" s="132">
        <f>L39-L40-Rückstellungen!K19-Rückstellungen!X19-Rückstellungen!AK19</f>
        <v/>
      </c>
      <c r="M41" s="132">
        <f>M39-M40-Rückstellungen!L19-Rückstellungen!Y19-Rückstellungen!AL19</f>
        <v/>
      </c>
      <c r="N41" s="132">
        <f>N39-N40-Rückstellungen!M19-Rückstellungen!Z19-Rückstellungen!AM19</f>
        <v/>
      </c>
      <c r="O41" s="132">
        <f>O39-O40-Rückstellungen!N19-Rückstellungen!AA19-Rückstellungen!AN19</f>
        <v/>
      </c>
      <c r="P41" s="132">
        <f>P39-P40-Rückstellungen!O19-Rückstellungen!AB19-Rückstellungen!AO19</f>
        <v/>
      </c>
      <c r="Q41" s="133">
        <f>SUM(E41:P41)</f>
        <v/>
      </c>
      <c r="R41" s="134">
        <f>IFERROR(Q41/Q39,0)</f>
        <v/>
      </c>
    </row>
    <row r="42">
      <c r="A42" s="91">
        <f>Stammdaten!A20</f>
        <v/>
      </c>
      <c r="B42" s="73">
        <f>Stammdaten!B20</f>
        <v/>
      </c>
      <c r="C42" s="73">
        <f>Stammdaten!C20</f>
        <v/>
      </c>
      <c r="D42" s="127" t="inlineStr">
        <is>
          <t>Verrechnung</t>
        </is>
      </c>
      <c r="E42" s="58" t="n">
        <v>3868.32</v>
      </c>
      <c r="F42" s="58" t="n">
        <v>3975.92</v>
      </c>
      <c r="G42" s="58" t="n">
        <v>4008.35</v>
      </c>
      <c r="H42" s="58" t="n">
        <v>4067.15</v>
      </c>
      <c r="I42" s="58" t="n">
        <v>4173.01</v>
      </c>
      <c r="J42" s="58" t="n">
        <v>3954.14</v>
      </c>
      <c r="K42" s="58" t="n">
        <v>3590.31</v>
      </c>
      <c r="L42" s="58" t="n">
        <v>3999.08</v>
      </c>
      <c r="M42" s="58" t="n">
        <v>4102.23</v>
      </c>
      <c r="N42" s="58" t="n">
        <v>4169.59</v>
      </c>
      <c r="O42" s="58" t="n">
        <v>3898.88</v>
      </c>
      <c r="P42" s="58" t="n">
        <v>3751.87</v>
      </c>
      <c r="Q42" s="28">
        <f>SUM(E42:P42)</f>
        <v/>
      </c>
    </row>
    <row r="43">
      <c r="A43" s="91">
        <f>Stammdaten!A20</f>
        <v/>
      </c>
      <c r="B43" s="73">
        <f>Stammdaten!B20</f>
        <v/>
      </c>
      <c r="C43" s="73">
        <f>Stammdaten!C20</f>
        <v/>
      </c>
      <c r="D43" s="128" t="inlineStr">
        <is>
          <t>Selbstkosten</t>
        </is>
      </c>
      <c r="E43" s="58" t="n">
        <v>1800.37</v>
      </c>
      <c r="F43" s="58" t="n">
        <v>1869.26</v>
      </c>
      <c r="G43" s="58" t="n">
        <v>1835.98</v>
      </c>
      <c r="H43" s="58" t="n">
        <v>1929.83</v>
      </c>
      <c r="I43" s="58" t="n">
        <v>1970.78</v>
      </c>
      <c r="J43" s="58" t="n">
        <v>1865.41</v>
      </c>
      <c r="K43" s="58" t="n">
        <v>1717.59</v>
      </c>
      <c r="L43" s="58" t="n">
        <v>1816.95</v>
      </c>
      <c r="M43" s="58" t="n">
        <v>1908.61</v>
      </c>
      <c r="N43" s="58" t="n">
        <v>1923.48</v>
      </c>
      <c r="O43" s="58" t="n">
        <v>1773.74</v>
      </c>
      <c r="P43" s="58" t="n">
        <v>1778.39</v>
      </c>
      <c r="Q43" s="28">
        <f>SUM(E43:P43)</f>
        <v/>
      </c>
    </row>
    <row r="44">
      <c r="A44" s="91">
        <f>Stammdaten!A20</f>
        <v/>
      </c>
      <c r="B44" s="73">
        <f>Stammdaten!B20</f>
        <v/>
      </c>
      <c r="C44" s="73">
        <f>Stammdaten!C20</f>
        <v/>
      </c>
      <c r="D44" s="135" t="inlineStr">
        <is>
          <t>DB1</t>
        </is>
      </c>
      <c r="E44" s="40">
        <f>E42-E43-Rückstellungen!D20-Rückstellungen!Q20-Rückstellungen!AD20</f>
        <v/>
      </c>
      <c r="F44" s="40">
        <f>F42-F43-Rückstellungen!E20-Rückstellungen!R20-Rückstellungen!AE20</f>
        <v/>
      </c>
      <c r="G44" s="40">
        <f>G42-G43-Rückstellungen!F20-Rückstellungen!S20-Rückstellungen!AF20</f>
        <v/>
      </c>
      <c r="H44" s="40">
        <f>H42-H43-Rückstellungen!G20-Rückstellungen!T20-Rückstellungen!AG20</f>
        <v/>
      </c>
      <c r="I44" s="40">
        <f>I42-I43-Rückstellungen!H20-Rückstellungen!U20-Rückstellungen!AH20</f>
        <v/>
      </c>
      <c r="J44" s="40">
        <f>J42-J43-Rückstellungen!I20-Rückstellungen!V20-Rückstellungen!AI20</f>
        <v/>
      </c>
      <c r="K44" s="40">
        <f>K42-K43-Rückstellungen!J20-Rückstellungen!W20-Rückstellungen!AJ20</f>
        <v/>
      </c>
      <c r="L44" s="40">
        <f>L42-L43-Rückstellungen!K20-Rückstellungen!X20-Rückstellungen!AK20</f>
        <v/>
      </c>
      <c r="M44" s="40">
        <f>M42-M43-Rückstellungen!L20-Rückstellungen!Y20-Rückstellungen!AL20</f>
        <v/>
      </c>
      <c r="N44" s="40">
        <f>N42-N43-Rückstellungen!M20-Rückstellungen!Z20-Rückstellungen!AM20</f>
        <v/>
      </c>
      <c r="O44" s="40">
        <f>O42-O43-Rückstellungen!N20-Rückstellungen!AA20-Rückstellungen!AN20</f>
        <v/>
      </c>
      <c r="P44" s="40">
        <f>P42-P43-Rückstellungen!O20-Rückstellungen!AB20-Rückstellungen!AO20</f>
        <v/>
      </c>
      <c r="Q44" s="59">
        <f>SUM(E44:P44)</f>
        <v/>
      </c>
      <c r="R44" s="126">
        <f>IFERROR(Q44/Q42,0)</f>
        <v/>
      </c>
    </row>
    <row r="45">
      <c r="A45" s="91">
        <f>Stammdaten!A21</f>
        <v/>
      </c>
      <c r="B45" s="73">
        <f>Stammdaten!B21</f>
        <v/>
      </c>
      <c r="C45" s="73">
        <f>Stammdaten!C21</f>
        <v/>
      </c>
      <c r="D45" s="127" t="inlineStr">
        <is>
          <t>Verrechnung</t>
        </is>
      </c>
      <c r="E45" s="58" t="n">
        <v>4845.4</v>
      </c>
      <c r="F45" s="58" t="n">
        <v>4970.1</v>
      </c>
      <c r="G45" s="58" t="n">
        <v>4910.09</v>
      </c>
      <c r="H45" s="58" t="n">
        <v>4865.25</v>
      </c>
      <c r="I45" s="58" t="n">
        <v>4812.66</v>
      </c>
      <c r="J45" s="58" t="n">
        <v>4805.61</v>
      </c>
      <c r="K45" s="58" t="n">
        <v>4437.68</v>
      </c>
      <c r="L45" s="58" t="n">
        <v>4761.68</v>
      </c>
      <c r="M45" s="58" t="n">
        <v>5039.71</v>
      </c>
      <c r="N45" s="58" t="n">
        <v>4831.83</v>
      </c>
      <c r="O45" s="58" t="n">
        <v>4663.16</v>
      </c>
      <c r="P45" s="58" t="n">
        <v>4497.38</v>
      </c>
      <c r="Q45" s="28">
        <f>SUM(E45:P45)</f>
        <v/>
      </c>
    </row>
    <row r="46">
      <c r="A46" s="91">
        <f>Stammdaten!A21</f>
        <v/>
      </c>
      <c r="B46" s="73">
        <f>Stammdaten!B21</f>
        <v/>
      </c>
      <c r="C46" s="73">
        <f>Stammdaten!C21</f>
        <v/>
      </c>
      <c r="D46" s="128" t="inlineStr">
        <is>
          <t>Selbstkosten</t>
        </is>
      </c>
      <c r="E46" s="58" t="n">
        <v>2366.45</v>
      </c>
      <c r="F46" s="58" t="n">
        <v>2373.71</v>
      </c>
      <c r="G46" s="58" t="n">
        <v>2473.16</v>
      </c>
      <c r="H46" s="58" t="n">
        <v>2448.55</v>
      </c>
      <c r="I46" s="58" t="n">
        <v>2425.8</v>
      </c>
      <c r="J46" s="58" t="n">
        <v>2412.28</v>
      </c>
      <c r="K46" s="58" t="n">
        <v>2149.48</v>
      </c>
      <c r="L46" s="58" t="n">
        <v>2297.03</v>
      </c>
      <c r="M46" s="58" t="n">
        <v>2505.57</v>
      </c>
      <c r="N46" s="58" t="n">
        <v>2303.84</v>
      </c>
      <c r="O46" s="58" t="n">
        <v>2277.72</v>
      </c>
      <c r="P46" s="58" t="n">
        <v>2150.35</v>
      </c>
      <c r="Q46" s="28">
        <f>SUM(E46:P46)</f>
        <v/>
      </c>
    </row>
    <row r="47">
      <c r="A47" s="91">
        <f>Stammdaten!A21</f>
        <v/>
      </c>
      <c r="B47" s="73">
        <f>Stammdaten!B21</f>
        <v/>
      </c>
      <c r="C47" s="73">
        <f>Stammdaten!C21</f>
        <v/>
      </c>
      <c r="D47" s="135" t="inlineStr">
        <is>
          <t>DB1</t>
        </is>
      </c>
      <c r="E47" s="40">
        <f>E45-E46-Rückstellungen!D21-Rückstellungen!Q21-Rückstellungen!AD21</f>
        <v/>
      </c>
      <c r="F47" s="40">
        <f>F45-F46-Rückstellungen!E21-Rückstellungen!R21-Rückstellungen!AE21</f>
        <v/>
      </c>
      <c r="G47" s="40">
        <f>G45-G46-Rückstellungen!F21-Rückstellungen!S21-Rückstellungen!AF21</f>
        <v/>
      </c>
      <c r="H47" s="40">
        <f>H45-H46-Rückstellungen!G21-Rückstellungen!T21-Rückstellungen!AG21</f>
        <v/>
      </c>
      <c r="I47" s="40">
        <f>I45-I46-Rückstellungen!H21-Rückstellungen!U21-Rückstellungen!AH21</f>
        <v/>
      </c>
      <c r="J47" s="40">
        <f>J45-J46-Rückstellungen!I21-Rückstellungen!V21-Rückstellungen!AI21</f>
        <v/>
      </c>
      <c r="K47" s="40">
        <f>K45-K46-Rückstellungen!J21-Rückstellungen!W21-Rückstellungen!AJ21</f>
        <v/>
      </c>
      <c r="L47" s="40">
        <f>L45-L46-Rückstellungen!K21-Rückstellungen!X21-Rückstellungen!AK21</f>
        <v/>
      </c>
      <c r="M47" s="40">
        <f>M45-M46-Rückstellungen!L21-Rückstellungen!Y21-Rückstellungen!AL21</f>
        <v/>
      </c>
      <c r="N47" s="40">
        <f>N45-N46-Rückstellungen!M21-Rückstellungen!Z21-Rückstellungen!AM21</f>
        <v/>
      </c>
      <c r="O47" s="40">
        <f>O45-O46-Rückstellungen!N21-Rückstellungen!AA21-Rückstellungen!AN21</f>
        <v/>
      </c>
      <c r="P47" s="40">
        <f>P45-P46-Rückstellungen!O21-Rückstellungen!AB21-Rückstellungen!AO21</f>
        <v/>
      </c>
      <c r="Q47" s="59">
        <f>SUM(E47:P47)</f>
        <v/>
      </c>
      <c r="R47" s="126">
        <f>IFERROR(Q47/Q45,0)</f>
        <v/>
      </c>
    </row>
    <row r="48">
      <c r="A48" s="91">
        <f>Stammdaten!A22</f>
        <v/>
      </c>
      <c r="B48" s="73">
        <f>Stammdaten!B22</f>
        <v/>
      </c>
      <c r="C48" s="73">
        <f>Stammdaten!C22</f>
        <v/>
      </c>
      <c r="D48" s="127" t="inlineStr">
        <is>
          <t>Verrechnung</t>
        </is>
      </c>
      <c r="E48" s="58" t="n">
        <v>3868.92</v>
      </c>
      <c r="F48" s="58" t="n">
        <v>3938.4</v>
      </c>
      <c r="G48" s="58" t="n">
        <v>3784.6</v>
      </c>
      <c r="H48" s="58" t="n">
        <v>3657.82</v>
      </c>
      <c r="I48" s="58" t="n">
        <v>3746.89</v>
      </c>
      <c r="J48" s="58" t="n">
        <v>3813.43</v>
      </c>
      <c r="K48" s="58" t="n">
        <v>3567.37</v>
      </c>
      <c r="L48" s="58" t="n">
        <v>3830.1</v>
      </c>
      <c r="M48" s="58" t="n">
        <v>3735.33</v>
      </c>
      <c r="N48" s="58" t="n">
        <v>3786.71</v>
      </c>
      <c r="O48" s="58" t="n">
        <v>3902.17</v>
      </c>
      <c r="P48" s="58" t="n">
        <v>3565.96</v>
      </c>
      <c r="Q48" s="28">
        <f>SUM(E48:P48)</f>
        <v/>
      </c>
    </row>
    <row r="49">
      <c r="A49" s="91">
        <f>Stammdaten!A22</f>
        <v/>
      </c>
      <c r="B49" s="73">
        <f>Stammdaten!B22</f>
        <v/>
      </c>
      <c r="C49" s="73">
        <f>Stammdaten!C22</f>
        <v/>
      </c>
      <c r="D49" s="128" t="inlineStr">
        <is>
          <t>Selbstkosten</t>
        </is>
      </c>
      <c r="E49" s="58" t="n">
        <v>2021</v>
      </c>
      <c r="F49" s="58" t="n">
        <v>2133.76</v>
      </c>
      <c r="G49" s="58" t="n">
        <v>2046.93</v>
      </c>
      <c r="H49" s="58" t="n">
        <v>1894.23</v>
      </c>
      <c r="I49" s="58" t="n">
        <v>1915.12</v>
      </c>
      <c r="J49" s="58" t="n">
        <v>1956.26</v>
      </c>
      <c r="K49" s="58" t="n">
        <v>1855.55</v>
      </c>
      <c r="L49" s="58" t="n">
        <v>1959.23</v>
      </c>
      <c r="M49" s="58" t="n">
        <v>1925.97</v>
      </c>
      <c r="N49" s="58" t="n">
        <v>1998.87</v>
      </c>
      <c r="O49" s="58" t="n">
        <v>2068.5</v>
      </c>
      <c r="P49" s="58" t="n">
        <v>1888.62</v>
      </c>
      <c r="Q49" s="28">
        <f>SUM(E49:P49)</f>
        <v/>
      </c>
    </row>
    <row r="50">
      <c r="A50" s="91">
        <f>Stammdaten!A22</f>
        <v/>
      </c>
      <c r="B50" s="73">
        <f>Stammdaten!B22</f>
        <v/>
      </c>
      <c r="C50" s="73">
        <f>Stammdaten!C22</f>
        <v/>
      </c>
      <c r="D50" s="135" t="inlineStr">
        <is>
          <t>DB1</t>
        </is>
      </c>
      <c r="E50" s="40">
        <f>E48-E49-Rückstellungen!D22-Rückstellungen!Q22-Rückstellungen!AD22</f>
        <v/>
      </c>
      <c r="F50" s="40">
        <f>F48-F49-Rückstellungen!E22-Rückstellungen!R22-Rückstellungen!AE22</f>
        <v/>
      </c>
      <c r="G50" s="40">
        <f>G48-G49-Rückstellungen!F22-Rückstellungen!S22-Rückstellungen!AF22</f>
        <v/>
      </c>
      <c r="H50" s="40">
        <f>H48-H49-Rückstellungen!G22-Rückstellungen!T22-Rückstellungen!AG22</f>
        <v/>
      </c>
      <c r="I50" s="40">
        <f>I48-I49-Rückstellungen!H22-Rückstellungen!U22-Rückstellungen!AH22</f>
        <v/>
      </c>
      <c r="J50" s="40">
        <f>J48-J49-Rückstellungen!I22-Rückstellungen!V22-Rückstellungen!AI22</f>
        <v/>
      </c>
      <c r="K50" s="40">
        <f>K48-K49-Rückstellungen!J22-Rückstellungen!W22-Rückstellungen!AJ22</f>
        <v/>
      </c>
      <c r="L50" s="40">
        <f>L48-L49-Rückstellungen!K22-Rückstellungen!X22-Rückstellungen!AK22</f>
        <v/>
      </c>
      <c r="M50" s="40">
        <f>M48-M49-Rückstellungen!L22-Rückstellungen!Y22-Rückstellungen!AL22</f>
        <v/>
      </c>
      <c r="N50" s="40">
        <f>N48-N49-Rückstellungen!M22-Rückstellungen!Z22-Rückstellungen!AM22</f>
        <v/>
      </c>
      <c r="O50" s="40">
        <f>O48-O49-Rückstellungen!N22-Rückstellungen!AA22-Rückstellungen!AN22</f>
        <v/>
      </c>
      <c r="P50" s="40">
        <f>P48-P49-Rückstellungen!O22-Rückstellungen!AB22-Rückstellungen!AO22</f>
        <v/>
      </c>
      <c r="Q50" s="59">
        <f>SUM(E50:P50)</f>
        <v/>
      </c>
      <c r="R50" s="126">
        <f>IFERROR(Q50/Q48,0)</f>
        <v/>
      </c>
    </row>
    <row r="51">
      <c r="A51" s="91">
        <f>Stammdaten!A23</f>
        <v/>
      </c>
      <c r="B51" s="73">
        <f>Stammdaten!B23</f>
        <v/>
      </c>
      <c r="C51" s="73">
        <f>Stammdaten!C23</f>
        <v/>
      </c>
      <c r="D51" s="127" t="inlineStr">
        <is>
          <t>Verrechnung</t>
        </is>
      </c>
      <c r="E51" s="58" t="n">
        <v>5617.17</v>
      </c>
      <c r="F51" s="58" t="n">
        <v>5950.03</v>
      </c>
      <c r="G51" s="58" t="n">
        <v>5570</v>
      </c>
      <c r="H51" s="58" t="n">
        <v>5814.37</v>
      </c>
      <c r="I51" s="58" t="n">
        <v>5857.31</v>
      </c>
      <c r="J51" s="58" t="n">
        <v>5523.97</v>
      </c>
      <c r="K51" s="58" t="n">
        <v>5111.08</v>
      </c>
      <c r="L51" s="58" t="n">
        <v>5636.87</v>
      </c>
      <c r="M51" s="58" t="n">
        <v>5960.23</v>
      </c>
      <c r="N51" s="58" t="n">
        <v>5930.41</v>
      </c>
      <c r="O51" s="58" t="n">
        <v>5864.23</v>
      </c>
      <c r="P51" s="58" t="n">
        <v>4904.56</v>
      </c>
      <c r="Q51" s="28">
        <f>SUM(E51:P51)</f>
        <v/>
      </c>
    </row>
    <row r="52">
      <c r="A52" s="91">
        <f>Stammdaten!A23</f>
        <v/>
      </c>
      <c r="B52" s="73">
        <f>Stammdaten!B23</f>
        <v/>
      </c>
      <c r="C52" s="73">
        <f>Stammdaten!C23</f>
        <v/>
      </c>
      <c r="D52" s="128" t="inlineStr">
        <is>
          <t>Selbstkosten</t>
        </is>
      </c>
      <c r="E52" s="58" t="n">
        <v>2608.43</v>
      </c>
      <c r="F52" s="58" t="n">
        <v>2685.25</v>
      </c>
      <c r="G52" s="58" t="n">
        <v>2476.99</v>
      </c>
      <c r="H52" s="58" t="n">
        <v>2572.05</v>
      </c>
      <c r="I52" s="58" t="n">
        <v>2758.91</v>
      </c>
      <c r="J52" s="58" t="n">
        <v>2524.46</v>
      </c>
      <c r="K52" s="58" t="n">
        <v>2275.2</v>
      </c>
      <c r="L52" s="58" t="n">
        <v>2539.15</v>
      </c>
      <c r="M52" s="58" t="n">
        <v>2736.28</v>
      </c>
      <c r="N52" s="58" t="n">
        <v>2639.58</v>
      </c>
      <c r="O52" s="58" t="n">
        <v>2590.41</v>
      </c>
      <c r="P52" s="58" t="n">
        <v>2224.8</v>
      </c>
      <c r="Q52" s="28">
        <f>SUM(E52:P52)</f>
        <v/>
      </c>
    </row>
    <row r="53">
      <c r="A53" s="91">
        <f>Stammdaten!A23</f>
        <v/>
      </c>
      <c r="B53" s="73">
        <f>Stammdaten!B23</f>
        <v/>
      </c>
      <c r="C53" s="73">
        <f>Stammdaten!C23</f>
        <v/>
      </c>
      <c r="D53" s="135" t="inlineStr">
        <is>
          <t>DB1</t>
        </is>
      </c>
      <c r="E53" s="40">
        <f>E51-E52-Rückstellungen!D23-Rückstellungen!Q23-Rückstellungen!AD23</f>
        <v/>
      </c>
      <c r="F53" s="40">
        <f>F51-F52-Rückstellungen!E23-Rückstellungen!R23-Rückstellungen!AE23</f>
        <v/>
      </c>
      <c r="G53" s="40">
        <f>G51-G52-Rückstellungen!F23-Rückstellungen!S23-Rückstellungen!AF23</f>
        <v/>
      </c>
      <c r="H53" s="40">
        <f>H51-H52-Rückstellungen!G23-Rückstellungen!T23-Rückstellungen!AG23</f>
        <v/>
      </c>
      <c r="I53" s="40">
        <f>I51-I52-Rückstellungen!H23-Rückstellungen!U23-Rückstellungen!AH23</f>
        <v/>
      </c>
      <c r="J53" s="40">
        <f>J51-J52-Rückstellungen!I23-Rückstellungen!V23-Rückstellungen!AI23</f>
        <v/>
      </c>
      <c r="K53" s="40">
        <f>K51-K52-Rückstellungen!J23-Rückstellungen!W23-Rückstellungen!AJ23</f>
        <v/>
      </c>
      <c r="L53" s="40">
        <f>L51-L52-Rückstellungen!K23-Rückstellungen!X23-Rückstellungen!AK23</f>
        <v/>
      </c>
      <c r="M53" s="40">
        <f>M51-M52-Rückstellungen!L23-Rückstellungen!Y23-Rückstellungen!AL23</f>
        <v/>
      </c>
      <c r="N53" s="40">
        <f>N51-N52-Rückstellungen!M23-Rückstellungen!Z23-Rückstellungen!AM23</f>
        <v/>
      </c>
      <c r="O53" s="40">
        <f>O51-O52-Rückstellungen!N23-Rückstellungen!AA23-Rückstellungen!AN23</f>
        <v/>
      </c>
      <c r="P53" s="40">
        <f>P51-P52-Rückstellungen!O23-Rückstellungen!AB23-Rückstellungen!AO23</f>
        <v/>
      </c>
      <c r="Q53" s="59">
        <f>SUM(E53:P53)</f>
        <v/>
      </c>
      <c r="R53" s="126">
        <f>IFERROR(Q53/Q51,0)</f>
        <v/>
      </c>
    </row>
    <row r="54">
      <c r="A54" s="91">
        <f>Stammdaten!A24</f>
        <v/>
      </c>
      <c r="B54" s="73">
        <f>Stammdaten!B24</f>
        <v/>
      </c>
      <c r="C54" s="73">
        <f>Stammdaten!C24</f>
        <v/>
      </c>
      <c r="D54" s="127" t="inlineStr">
        <is>
          <t>Verrechnung</t>
        </is>
      </c>
      <c r="E54" s="58" t="n">
        <v>5576.52</v>
      </c>
      <c r="F54" s="58" t="n">
        <v>5376.25</v>
      </c>
      <c r="G54" s="58" t="n">
        <v>5616.82</v>
      </c>
      <c r="H54" s="58" t="n">
        <v>5474.79</v>
      </c>
      <c r="I54" s="58" t="n">
        <v>5812.02</v>
      </c>
      <c r="J54" s="58" t="n">
        <v>5422.91</v>
      </c>
      <c r="K54" s="58" t="n">
        <v>5371.87</v>
      </c>
      <c r="L54" s="58" t="n">
        <v>5380.79</v>
      </c>
      <c r="M54" s="58" t="n">
        <v>5535.76</v>
      </c>
      <c r="N54" s="58" t="n">
        <v>5586.61</v>
      </c>
      <c r="O54" s="58" t="n">
        <v>5599.65</v>
      </c>
      <c r="P54" s="58" t="n">
        <v>4925.72</v>
      </c>
      <c r="Q54" s="28">
        <f>SUM(E54:P54)</f>
        <v/>
      </c>
    </row>
    <row r="55">
      <c r="A55" s="91">
        <f>Stammdaten!A24</f>
        <v/>
      </c>
      <c r="B55" s="73">
        <f>Stammdaten!B24</f>
        <v/>
      </c>
      <c r="C55" s="73">
        <f>Stammdaten!C24</f>
        <v/>
      </c>
      <c r="D55" s="128" t="inlineStr">
        <is>
          <t>Selbstkosten</t>
        </is>
      </c>
      <c r="E55" s="58" t="n">
        <v>2650.15</v>
      </c>
      <c r="F55" s="58" t="n">
        <v>2614.89</v>
      </c>
      <c r="G55" s="58" t="n">
        <v>2703.46</v>
      </c>
      <c r="H55" s="58" t="n">
        <v>2578.97</v>
      </c>
      <c r="I55" s="58" t="n">
        <v>2705.59</v>
      </c>
      <c r="J55" s="58" t="n">
        <v>2686.05</v>
      </c>
      <c r="K55" s="58" t="n">
        <v>2542.88</v>
      </c>
      <c r="L55" s="58" t="n">
        <v>2584.54</v>
      </c>
      <c r="M55" s="58" t="n">
        <v>2590.77</v>
      </c>
      <c r="N55" s="58" t="n">
        <v>2633.43</v>
      </c>
      <c r="O55" s="58" t="n">
        <v>2721.64</v>
      </c>
      <c r="P55" s="58" t="n">
        <v>2406.28</v>
      </c>
      <c r="Q55" s="28">
        <f>SUM(E55:P55)</f>
        <v/>
      </c>
    </row>
    <row r="56">
      <c r="A56" s="91">
        <f>Stammdaten!A24</f>
        <v/>
      </c>
      <c r="B56" s="73">
        <f>Stammdaten!B24</f>
        <v/>
      </c>
      <c r="C56" s="73">
        <f>Stammdaten!C24</f>
        <v/>
      </c>
      <c r="D56" s="135" t="inlineStr">
        <is>
          <t>DB1</t>
        </is>
      </c>
      <c r="E56" s="40">
        <f>E54-E55-Rückstellungen!D24-Rückstellungen!Q24-Rückstellungen!AD24</f>
        <v/>
      </c>
      <c r="F56" s="40">
        <f>F54-F55-Rückstellungen!E24-Rückstellungen!R24-Rückstellungen!AE24</f>
        <v/>
      </c>
      <c r="G56" s="40">
        <f>G54-G55-Rückstellungen!F24-Rückstellungen!S24-Rückstellungen!AF24</f>
        <v/>
      </c>
      <c r="H56" s="40">
        <f>H54-H55-Rückstellungen!G24-Rückstellungen!T24-Rückstellungen!AG24</f>
        <v/>
      </c>
      <c r="I56" s="40">
        <f>I54-I55-Rückstellungen!H24-Rückstellungen!U24-Rückstellungen!AH24</f>
        <v/>
      </c>
      <c r="J56" s="40">
        <f>J54-J55-Rückstellungen!I24-Rückstellungen!V24-Rückstellungen!AI24</f>
        <v/>
      </c>
      <c r="K56" s="40">
        <f>K54-K55-Rückstellungen!J24-Rückstellungen!W24-Rückstellungen!AJ24</f>
        <v/>
      </c>
      <c r="L56" s="40">
        <f>L54-L55-Rückstellungen!K24-Rückstellungen!X24-Rückstellungen!AK24</f>
        <v/>
      </c>
      <c r="M56" s="40">
        <f>M54-M55-Rückstellungen!L24-Rückstellungen!Y24-Rückstellungen!AL24</f>
        <v/>
      </c>
      <c r="N56" s="40">
        <f>N54-N55-Rückstellungen!M24-Rückstellungen!Z24-Rückstellungen!AM24</f>
        <v/>
      </c>
      <c r="O56" s="40">
        <f>O54-O55-Rückstellungen!N24-Rückstellungen!AA24-Rückstellungen!AN24</f>
        <v/>
      </c>
      <c r="P56" s="40">
        <f>P54-P55-Rückstellungen!O24-Rückstellungen!AB24-Rückstellungen!AO24</f>
        <v/>
      </c>
      <c r="Q56" s="59">
        <f>SUM(E56:P56)</f>
        <v/>
      </c>
      <c r="R56" s="126">
        <f>IFERROR(Q56/Q54,0)</f>
        <v/>
      </c>
    </row>
    <row r="57">
      <c r="A57" s="91">
        <f>Stammdaten!A25</f>
        <v/>
      </c>
      <c r="B57" s="73">
        <f>Stammdaten!B25</f>
        <v/>
      </c>
      <c r="C57" s="73">
        <f>Stammdaten!C25</f>
        <v/>
      </c>
      <c r="D57" s="127" t="inlineStr">
        <is>
          <t>Verrechnung</t>
        </is>
      </c>
      <c r="E57" s="58" t="n">
        <v>4936.83</v>
      </c>
      <c r="F57" s="58" t="n">
        <v>4977.91</v>
      </c>
      <c r="G57" s="58" t="n">
        <v>4926.24</v>
      </c>
      <c r="H57" s="58" t="n">
        <v>5230.5</v>
      </c>
      <c r="I57" s="58" t="n">
        <v>5222.14</v>
      </c>
      <c r="J57" s="58" t="n">
        <v>5106.14</v>
      </c>
      <c r="K57" s="58" t="n">
        <v>4370.95</v>
      </c>
      <c r="L57" s="58" t="n">
        <v>4976.12</v>
      </c>
      <c r="M57" s="58" t="n">
        <v>5187.48</v>
      </c>
      <c r="N57" s="58" t="n">
        <v>4895.69</v>
      </c>
      <c r="O57" s="58" t="n">
        <v>4830.41</v>
      </c>
      <c r="P57" s="58" t="n">
        <v>4461.69</v>
      </c>
      <c r="Q57" s="28">
        <f>SUM(E57:P57)</f>
        <v/>
      </c>
    </row>
    <row r="58">
      <c r="A58" s="91">
        <f>Stammdaten!A25</f>
        <v/>
      </c>
      <c r="B58" s="73">
        <f>Stammdaten!B25</f>
        <v/>
      </c>
      <c r="C58" s="73">
        <f>Stammdaten!C25</f>
        <v/>
      </c>
      <c r="D58" s="128" t="inlineStr">
        <is>
          <t>Selbstkosten</t>
        </is>
      </c>
      <c r="E58" s="58" t="n">
        <v>2271.66</v>
      </c>
      <c r="F58" s="58" t="n">
        <v>2324.37</v>
      </c>
      <c r="G58" s="58" t="n">
        <v>2262.94</v>
      </c>
      <c r="H58" s="58" t="n">
        <v>2363.42</v>
      </c>
      <c r="I58" s="58" t="n">
        <v>2408.13</v>
      </c>
      <c r="J58" s="58" t="n">
        <v>2338.47</v>
      </c>
      <c r="K58" s="58" t="n">
        <v>2012.17</v>
      </c>
      <c r="L58" s="58" t="n">
        <v>2233.54</v>
      </c>
      <c r="M58" s="58" t="n">
        <v>2439.88</v>
      </c>
      <c r="N58" s="58" t="n">
        <v>2307.89</v>
      </c>
      <c r="O58" s="58" t="n">
        <v>2254.42</v>
      </c>
      <c r="P58" s="58" t="n">
        <v>2102.88</v>
      </c>
      <c r="Q58" s="28">
        <f>SUM(E58:P58)</f>
        <v/>
      </c>
    </row>
    <row r="59">
      <c r="A59" s="91">
        <f>Stammdaten!A25</f>
        <v/>
      </c>
      <c r="B59" s="73">
        <f>Stammdaten!B25</f>
        <v/>
      </c>
      <c r="C59" s="73">
        <f>Stammdaten!C25</f>
        <v/>
      </c>
      <c r="D59" s="135" t="inlineStr">
        <is>
          <t>DB1</t>
        </is>
      </c>
      <c r="E59" s="40">
        <f>E57-E58-Rückstellungen!D25-Rückstellungen!Q25-Rückstellungen!AD25</f>
        <v/>
      </c>
      <c r="F59" s="40">
        <f>F57-F58-Rückstellungen!E25-Rückstellungen!R25-Rückstellungen!AE25</f>
        <v/>
      </c>
      <c r="G59" s="40">
        <f>G57-G58-Rückstellungen!F25-Rückstellungen!S25-Rückstellungen!AF25</f>
        <v/>
      </c>
      <c r="H59" s="40">
        <f>H57-H58-Rückstellungen!G25-Rückstellungen!T25-Rückstellungen!AG25</f>
        <v/>
      </c>
      <c r="I59" s="40">
        <f>I57-I58-Rückstellungen!H25-Rückstellungen!U25-Rückstellungen!AH25</f>
        <v/>
      </c>
      <c r="J59" s="40">
        <f>J57-J58-Rückstellungen!I25-Rückstellungen!V25-Rückstellungen!AI25</f>
        <v/>
      </c>
      <c r="K59" s="40">
        <f>K57-K58-Rückstellungen!J25-Rückstellungen!W25-Rückstellungen!AJ25</f>
        <v/>
      </c>
      <c r="L59" s="40">
        <f>L57-L58-Rückstellungen!K25-Rückstellungen!X25-Rückstellungen!AK25</f>
        <v/>
      </c>
      <c r="M59" s="40">
        <f>M57-M58-Rückstellungen!L25-Rückstellungen!Y25-Rückstellungen!AL25</f>
        <v/>
      </c>
      <c r="N59" s="40">
        <f>N57-N58-Rückstellungen!M25-Rückstellungen!Z25-Rückstellungen!AM25</f>
        <v/>
      </c>
      <c r="O59" s="40">
        <f>O57-O58-Rückstellungen!N25-Rückstellungen!AA25-Rückstellungen!AN25</f>
        <v/>
      </c>
      <c r="P59" s="40">
        <f>P57-P58-Rückstellungen!O25-Rückstellungen!AB25-Rückstellungen!AO25</f>
        <v/>
      </c>
      <c r="Q59" s="59">
        <f>SUM(E59:P59)</f>
        <v/>
      </c>
      <c r="R59" s="126">
        <f>IFERROR(Q59/Q57,0)</f>
        <v/>
      </c>
    </row>
    <row r="60">
      <c r="A60" s="91">
        <f>Stammdaten!A26</f>
        <v/>
      </c>
      <c r="B60" s="73">
        <f>Stammdaten!B26</f>
        <v/>
      </c>
      <c r="C60" s="73">
        <f>Stammdaten!C26</f>
        <v/>
      </c>
      <c r="D60" s="127" t="inlineStr">
        <is>
          <t>Verrechnung</t>
        </is>
      </c>
      <c r="E60" s="58" t="n">
        <v>4597.36</v>
      </c>
      <c r="F60" s="58" t="n">
        <v>4643.39</v>
      </c>
      <c r="G60" s="58" t="n">
        <v>4599.57</v>
      </c>
      <c r="H60" s="58" t="n">
        <v>4566.61</v>
      </c>
      <c r="I60" s="58" t="n">
        <v>4801.53</v>
      </c>
      <c r="J60" s="58" t="n">
        <v>4774.23</v>
      </c>
      <c r="K60" s="58" t="n">
        <v>4574.41</v>
      </c>
      <c r="L60" s="58" t="n">
        <v>4953.97</v>
      </c>
      <c r="M60" s="58" t="n">
        <v>4947.36</v>
      </c>
      <c r="N60" s="58" t="n">
        <v>4721.53</v>
      </c>
      <c r="O60" s="58" t="n">
        <v>4802.99</v>
      </c>
      <c r="P60" s="58" t="n">
        <v>4314</v>
      </c>
      <c r="Q60" s="28">
        <f>SUM(E60:P60)</f>
        <v/>
      </c>
    </row>
    <row r="61">
      <c r="A61" s="91">
        <f>Stammdaten!A26</f>
        <v/>
      </c>
      <c r="B61" s="73">
        <f>Stammdaten!B26</f>
        <v/>
      </c>
      <c r="C61" s="73">
        <f>Stammdaten!C26</f>
        <v/>
      </c>
      <c r="D61" s="128" t="inlineStr">
        <is>
          <t>Selbstkosten</t>
        </is>
      </c>
      <c r="E61" s="58" t="n">
        <v>2398.59</v>
      </c>
      <c r="F61" s="58" t="n">
        <v>2434.88</v>
      </c>
      <c r="G61" s="58" t="n">
        <v>2512.57</v>
      </c>
      <c r="H61" s="58" t="n">
        <v>2527.36</v>
      </c>
      <c r="I61" s="58" t="n">
        <v>2569.92</v>
      </c>
      <c r="J61" s="58" t="n">
        <v>2575.92</v>
      </c>
      <c r="K61" s="58" t="n">
        <v>2478.97</v>
      </c>
      <c r="L61" s="58" t="n">
        <v>2625.45</v>
      </c>
      <c r="M61" s="58" t="n">
        <v>2620.64</v>
      </c>
      <c r="N61" s="58" t="n">
        <v>2527.98</v>
      </c>
      <c r="O61" s="58" t="n">
        <v>2630.37</v>
      </c>
      <c r="P61" s="58" t="n">
        <v>2246.14</v>
      </c>
      <c r="Q61" s="28">
        <f>SUM(E61:P61)</f>
        <v/>
      </c>
    </row>
    <row r="62">
      <c r="A62" s="91">
        <f>Stammdaten!A26</f>
        <v/>
      </c>
      <c r="B62" s="73">
        <f>Stammdaten!B26</f>
        <v/>
      </c>
      <c r="C62" s="73">
        <f>Stammdaten!C26</f>
        <v/>
      </c>
      <c r="D62" s="135" t="inlineStr">
        <is>
          <t>DB1</t>
        </is>
      </c>
      <c r="E62" s="40">
        <f>E60-E61-Rückstellungen!D26-Rückstellungen!Q26-Rückstellungen!AD26</f>
        <v/>
      </c>
      <c r="F62" s="40">
        <f>F60-F61-Rückstellungen!E26-Rückstellungen!R26-Rückstellungen!AE26</f>
        <v/>
      </c>
      <c r="G62" s="40">
        <f>G60-G61-Rückstellungen!F26-Rückstellungen!S26-Rückstellungen!AF26</f>
        <v/>
      </c>
      <c r="H62" s="40">
        <f>H60-H61-Rückstellungen!G26-Rückstellungen!T26-Rückstellungen!AG26</f>
        <v/>
      </c>
      <c r="I62" s="40">
        <f>I60-I61-Rückstellungen!H26-Rückstellungen!U26-Rückstellungen!AH26</f>
        <v/>
      </c>
      <c r="J62" s="40">
        <f>J60-J61-Rückstellungen!I26-Rückstellungen!V26-Rückstellungen!AI26</f>
        <v/>
      </c>
      <c r="K62" s="40">
        <f>K60-K61-Rückstellungen!J26-Rückstellungen!W26-Rückstellungen!AJ26</f>
        <v/>
      </c>
      <c r="L62" s="40">
        <f>L60-L61-Rückstellungen!K26-Rückstellungen!X26-Rückstellungen!AK26</f>
        <v/>
      </c>
      <c r="M62" s="40">
        <f>M60-M61-Rückstellungen!L26-Rückstellungen!Y26-Rückstellungen!AL26</f>
        <v/>
      </c>
      <c r="N62" s="40">
        <f>N60-N61-Rückstellungen!M26-Rückstellungen!Z26-Rückstellungen!AM26</f>
        <v/>
      </c>
      <c r="O62" s="40">
        <f>O60-O61-Rückstellungen!N26-Rückstellungen!AA26-Rückstellungen!AN26</f>
        <v/>
      </c>
      <c r="P62" s="40">
        <f>P60-P61-Rückstellungen!O26-Rückstellungen!AB26-Rückstellungen!AO26</f>
        <v/>
      </c>
      <c r="Q62" s="59">
        <f>SUM(E62:P62)</f>
        <v/>
      </c>
      <c r="R62" s="126">
        <f>IFERROR(Q62/Q60,0)</f>
        <v/>
      </c>
    </row>
    <row r="63">
      <c r="A63" s="91">
        <f>Stammdaten!A27</f>
        <v/>
      </c>
      <c r="B63" s="73">
        <f>Stammdaten!B27</f>
        <v/>
      </c>
      <c r="C63" s="73">
        <f>Stammdaten!C27</f>
        <v/>
      </c>
      <c r="D63" s="127" t="inlineStr">
        <is>
          <t>Verrechnung</t>
        </is>
      </c>
      <c r="E63" s="58" t="n">
        <v>5005.66</v>
      </c>
      <c r="F63" s="58" t="n">
        <v>5321.11</v>
      </c>
      <c r="G63" s="58" t="n">
        <v>5145.96</v>
      </c>
      <c r="H63" s="58" t="n">
        <v>5139.67</v>
      </c>
      <c r="I63" s="58" t="n">
        <v>5212.15</v>
      </c>
      <c r="J63" s="58" t="n">
        <v>5289.89</v>
      </c>
      <c r="K63" s="58" t="n">
        <v>4494.66</v>
      </c>
      <c r="L63" s="58" t="n">
        <v>5312.13</v>
      </c>
      <c r="M63" s="58" t="n">
        <v>5245.07</v>
      </c>
      <c r="N63" s="58" t="n">
        <v>5323.41</v>
      </c>
      <c r="O63" s="58" t="n">
        <v>5169.74</v>
      </c>
      <c r="P63" s="58" t="n">
        <v>4980.6</v>
      </c>
      <c r="Q63" s="28">
        <f>SUM(E63:P63)</f>
        <v/>
      </c>
    </row>
    <row r="64">
      <c r="A64" s="91">
        <f>Stammdaten!A27</f>
        <v/>
      </c>
      <c r="B64" s="73">
        <f>Stammdaten!B27</f>
        <v/>
      </c>
      <c r="C64" s="73">
        <f>Stammdaten!C27</f>
        <v/>
      </c>
      <c r="D64" s="128" t="inlineStr">
        <is>
          <t>Selbstkosten</t>
        </is>
      </c>
      <c r="E64" s="58" t="n">
        <v>3838.02</v>
      </c>
      <c r="F64" s="58" t="n">
        <v>3923.92</v>
      </c>
      <c r="G64" s="58" t="n">
        <v>3874.8</v>
      </c>
      <c r="H64" s="58" t="n">
        <v>4024.89</v>
      </c>
      <c r="I64" s="58" t="n">
        <v>3829.99</v>
      </c>
      <c r="J64" s="58" t="n">
        <v>4035.53</v>
      </c>
      <c r="K64" s="58" t="n">
        <v>3412.16</v>
      </c>
      <c r="L64" s="58" t="n">
        <v>4018.48</v>
      </c>
      <c r="M64" s="58" t="n">
        <v>4075.03</v>
      </c>
      <c r="N64" s="58" t="n">
        <v>3923.93</v>
      </c>
      <c r="O64" s="58" t="n">
        <v>3798.32</v>
      </c>
      <c r="P64" s="58" t="n">
        <v>3787.05</v>
      </c>
      <c r="Q64" s="28">
        <f>SUM(E64:P64)</f>
        <v/>
      </c>
    </row>
    <row r="65">
      <c r="A65" s="91">
        <f>Stammdaten!A27</f>
        <v/>
      </c>
      <c r="B65" s="73">
        <f>Stammdaten!B27</f>
        <v/>
      </c>
      <c r="C65" s="73">
        <f>Stammdaten!C27</f>
        <v/>
      </c>
      <c r="D65" s="135" t="inlineStr">
        <is>
          <t>DB1</t>
        </is>
      </c>
      <c r="E65" s="40">
        <f>E63-E64-Rückstellungen!D27-Rückstellungen!Q27-Rückstellungen!AD27</f>
        <v/>
      </c>
      <c r="F65" s="40">
        <f>F63-F64-Rückstellungen!E27-Rückstellungen!R27-Rückstellungen!AE27</f>
        <v/>
      </c>
      <c r="G65" s="40">
        <f>G63-G64-Rückstellungen!F27-Rückstellungen!S27-Rückstellungen!AF27</f>
        <v/>
      </c>
      <c r="H65" s="40">
        <f>H63-H64-Rückstellungen!G27-Rückstellungen!T27-Rückstellungen!AG27</f>
        <v/>
      </c>
      <c r="I65" s="40">
        <f>I63-I64-Rückstellungen!H27-Rückstellungen!U27-Rückstellungen!AH27</f>
        <v/>
      </c>
      <c r="J65" s="40">
        <f>J63-J64-Rückstellungen!I27-Rückstellungen!V27-Rückstellungen!AI27</f>
        <v/>
      </c>
      <c r="K65" s="40">
        <f>K63-K64-Rückstellungen!J27-Rückstellungen!W27-Rückstellungen!AJ27</f>
        <v/>
      </c>
      <c r="L65" s="40">
        <f>L63-L64-Rückstellungen!K27-Rückstellungen!X27-Rückstellungen!AK27</f>
        <v/>
      </c>
      <c r="M65" s="40">
        <f>M63-M64-Rückstellungen!L27-Rückstellungen!Y27-Rückstellungen!AL27</f>
        <v/>
      </c>
      <c r="N65" s="40">
        <f>N63-N64-Rückstellungen!M27-Rückstellungen!Z27-Rückstellungen!AM27</f>
        <v/>
      </c>
      <c r="O65" s="40">
        <f>O63-O64-Rückstellungen!N27-Rückstellungen!AA27-Rückstellungen!AN27</f>
        <v/>
      </c>
      <c r="P65" s="40">
        <f>P63-P64-Rückstellungen!O27-Rückstellungen!AB27-Rückstellungen!AO27</f>
        <v/>
      </c>
      <c r="Q65" s="59">
        <f>SUM(E65:P65)</f>
        <v/>
      </c>
      <c r="R65" s="126">
        <f>IFERROR(Q65/Q63,0)</f>
        <v/>
      </c>
    </row>
    <row r="66">
      <c r="A66" s="91">
        <f>Stammdaten!A28</f>
        <v/>
      </c>
      <c r="B66" s="73">
        <f>Stammdaten!B28</f>
        <v/>
      </c>
      <c r="C66" s="73">
        <f>Stammdaten!C28</f>
        <v/>
      </c>
      <c r="D66" s="127" t="inlineStr">
        <is>
          <t>Verrechnung</t>
        </is>
      </c>
      <c r="E66" s="58" t="n">
        <v>5522.88</v>
      </c>
      <c r="F66" s="58" t="n">
        <v>5668.52</v>
      </c>
      <c r="G66" s="58" t="n">
        <v>5644.53</v>
      </c>
      <c r="H66" s="58" t="n">
        <v>5494.04</v>
      </c>
      <c r="I66" s="58" t="n">
        <v>5522.46</v>
      </c>
      <c r="J66" s="58" t="n">
        <v>5754.79</v>
      </c>
      <c r="K66" s="58" t="n">
        <v>4984.66</v>
      </c>
      <c r="L66" s="58" t="n">
        <v>5660.88</v>
      </c>
      <c r="M66" s="58" t="n">
        <v>5484.32</v>
      </c>
      <c r="N66" s="58" t="n">
        <v>5660.14</v>
      </c>
      <c r="O66" s="58" t="n">
        <v>5683.47</v>
      </c>
      <c r="P66" s="58" t="n">
        <v>5182.21</v>
      </c>
      <c r="Q66" s="28">
        <f>SUM(E66:P66)</f>
        <v/>
      </c>
    </row>
    <row r="67">
      <c r="A67" s="91">
        <f>Stammdaten!A28</f>
        <v/>
      </c>
      <c r="B67" s="73">
        <f>Stammdaten!B28</f>
        <v/>
      </c>
      <c r="C67" s="73">
        <f>Stammdaten!C28</f>
        <v/>
      </c>
      <c r="D67" s="128" t="inlineStr">
        <is>
          <t>Selbstkosten</t>
        </is>
      </c>
      <c r="E67" s="58" t="n">
        <v>3220.49</v>
      </c>
      <c r="F67" s="58" t="n">
        <v>3142.28</v>
      </c>
      <c r="G67" s="58" t="n">
        <v>3192.48</v>
      </c>
      <c r="H67" s="58" t="n">
        <v>3156.26</v>
      </c>
      <c r="I67" s="58" t="n">
        <v>3105.25</v>
      </c>
      <c r="J67" s="58" t="n">
        <v>3399.27</v>
      </c>
      <c r="K67" s="58" t="n">
        <v>2768.98</v>
      </c>
      <c r="L67" s="58" t="n">
        <v>3333.05</v>
      </c>
      <c r="M67" s="58" t="n">
        <v>3172.12</v>
      </c>
      <c r="N67" s="58" t="n">
        <v>3154.91</v>
      </c>
      <c r="O67" s="58" t="n">
        <v>3157.9</v>
      </c>
      <c r="P67" s="58" t="n">
        <v>2929.72</v>
      </c>
      <c r="Q67" s="28">
        <f>SUM(E67:P67)</f>
        <v/>
      </c>
    </row>
    <row r="68">
      <c r="A68" s="91">
        <f>Stammdaten!A28</f>
        <v/>
      </c>
      <c r="B68" s="73">
        <f>Stammdaten!B28</f>
        <v/>
      </c>
      <c r="C68" s="73">
        <f>Stammdaten!C28</f>
        <v/>
      </c>
      <c r="D68" s="135" t="inlineStr">
        <is>
          <t>DB1</t>
        </is>
      </c>
      <c r="E68" s="40">
        <f>E66-E67-Rückstellungen!D28-Rückstellungen!Q28-Rückstellungen!AD28</f>
        <v/>
      </c>
      <c r="F68" s="40">
        <f>F66-F67-Rückstellungen!E28-Rückstellungen!R28-Rückstellungen!AE28</f>
        <v/>
      </c>
      <c r="G68" s="40">
        <f>G66-G67-Rückstellungen!F28-Rückstellungen!S28-Rückstellungen!AF28</f>
        <v/>
      </c>
      <c r="H68" s="40">
        <f>H66-H67-Rückstellungen!G28-Rückstellungen!T28-Rückstellungen!AG28</f>
        <v/>
      </c>
      <c r="I68" s="40">
        <f>I66-I67-Rückstellungen!H28-Rückstellungen!U28-Rückstellungen!AH28</f>
        <v/>
      </c>
      <c r="J68" s="40">
        <f>J66-J67-Rückstellungen!I28-Rückstellungen!V28-Rückstellungen!AI28</f>
        <v/>
      </c>
      <c r="K68" s="40">
        <f>K66-K67-Rückstellungen!J28-Rückstellungen!W28-Rückstellungen!AJ28</f>
        <v/>
      </c>
      <c r="L68" s="40">
        <f>L66-L67-Rückstellungen!K28-Rückstellungen!X28-Rückstellungen!AK28</f>
        <v/>
      </c>
      <c r="M68" s="40">
        <f>M66-M67-Rückstellungen!L28-Rückstellungen!Y28-Rückstellungen!AL28</f>
        <v/>
      </c>
      <c r="N68" s="40">
        <f>N66-N67-Rückstellungen!M28-Rückstellungen!Z28-Rückstellungen!AM28</f>
        <v/>
      </c>
      <c r="O68" s="40">
        <f>O66-O67-Rückstellungen!N28-Rückstellungen!AA28-Rückstellungen!AN28</f>
        <v/>
      </c>
      <c r="P68" s="40">
        <f>P66-P67-Rückstellungen!O28-Rückstellungen!AB28-Rückstellungen!AO28</f>
        <v/>
      </c>
      <c r="Q68" s="59">
        <f>SUM(E68:P68)</f>
        <v/>
      </c>
      <c r="R68" s="126">
        <f>IFERROR(Q68/Q66,0)</f>
        <v/>
      </c>
    </row>
    <row r="69">
      <c r="A69" s="89">
        <f>Stammdaten!A29</f>
        <v/>
      </c>
      <c r="B69" s="67">
        <f>Stammdaten!B29</f>
        <v/>
      </c>
      <c r="C69" s="67">
        <f>Stammdaten!C29</f>
        <v/>
      </c>
      <c r="D69" s="123" t="inlineStr">
        <is>
          <t>Verrechnung</t>
        </is>
      </c>
      <c r="E69" s="58" t="n">
        <v>4208.36</v>
      </c>
      <c r="F69" s="58" t="n">
        <v>3882.3</v>
      </c>
      <c r="G69" s="58" t="n">
        <v>4032.05</v>
      </c>
      <c r="H69" s="58" t="n">
        <v>3960.02</v>
      </c>
      <c r="I69" s="58" t="n">
        <v>3971.88</v>
      </c>
      <c r="J69" s="58" t="n">
        <v>3917.86</v>
      </c>
      <c r="K69" s="58" t="n">
        <v>3435.55</v>
      </c>
      <c r="L69" s="58" t="n">
        <v>4031.76</v>
      </c>
      <c r="M69" s="58" t="n">
        <v>4115.09</v>
      </c>
      <c r="N69" s="58" t="n">
        <v>4087.41</v>
      </c>
      <c r="O69" s="58" t="n">
        <v>4071.57</v>
      </c>
      <c r="P69" s="58" t="n">
        <v>3399.2</v>
      </c>
      <c r="Q69" s="28">
        <f>SUM(E69:P69)</f>
        <v/>
      </c>
    </row>
    <row r="70">
      <c r="A70" s="89">
        <f>Stammdaten!A29</f>
        <v/>
      </c>
      <c r="B70" s="67">
        <f>Stammdaten!B29</f>
        <v/>
      </c>
      <c r="C70" s="67">
        <f>Stammdaten!C29</f>
        <v/>
      </c>
      <c r="D70" s="124" t="inlineStr">
        <is>
          <t>Selbstkosten</t>
        </is>
      </c>
      <c r="E70" s="58" t="n">
        <v>2493.61</v>
      </c>
      <c r="F70" s="58" t="n">
        <v>2262.71</v>
      </c>
      <c r="G70" s="58" t="n">
        <v>2244.49</v>
      </c>
      <c r="H70" s="58" t="n">
        <v>2352.61</v>
      </c>
      <c r="I70" s="58" t="n">
        <v>2330.17</v>
      </c>
      <c r="J70" s="58" t="n">
        <v>2335.23</v>
      </c>
      <c r="K70" s="58" t="n">
        <v>2018.55</v>
      </c>
      <c r="L70" s="58" t="n">
        <v>2328.68</v>
      </c>
      <c r="M70" s="58" t="n">
        <v>2374.63</v>
      </c>
      <c r="N70" s="58" t="n">
        <v>2416.03</v>
      </c>
      <c r="O70" s="58" t="n">
        <v>2361.07</v>
      </c>
      <c r="P70" s="58" t="n">
        <v>1984.21</v>
      </c>
      <c r="Q70" s="28">
        <f>SUM(E70:P70)</f>
        <v/>
      </c>
    </row>
    <row r="71">
      <c r="A71" s="136">
        <f>Stammdaten!A29</f>
        <v/>
      </c>
      <c r="B71" s="137">
        <f>Stammdaten!B29</f>
        <v/>
      </c>
      <c r="C71" s="137">
        <f>Stammdaten!C29</f>
        <v/>
      </c>
      <c r="D71" s="138" t="inlineStr">
        <is>
          <t>DB1</t>
        </is>
      </c>
      <c r="E71" s="132">
        <f>E69-E70-Rückstellungen!D29-Rückstellungen!Q29-Rückstellungen!AD29</f>
        <v/>
      </c>
      <c r="F71" s="132">
        <f>F69-F70-Rückstellungen!E29-Rückstellungen!R29-Rückstellungen!AE29</f>
        <v/>
      </c>
      <c r="G71" s="132">
        <f>G69-G70-Rückstellungen!F29-Rückstellungen!S29-Rückstellungen!AF29</f>
        <v/>
      </c>
      <c r="H71" s="132">
        <f>H69-H70-Rückstellungen!G29-Rückstellungen!T29-Rückstellungen!AG29</f>
        <v/>
      </c>
      <c r="I71" s="132">
        <f>I69-I70-Rückstellungen!H29-Rückstellungen!U29-Rückstellungen!AH29</f>
        <v/>
      </c>
      <c r="J71" s="132">
        <f>J69-J70-Rückstellungen!I29-Rückstellungen!V29-Rückstellungen!AI29</f>
        <v/>
      </c>
      <c r="K71" s="132">
        <f>K69-K70-Rückstellungen!J29-Rückstellungen!W29-Rückstellungen!AJ29</f>
        <v/>
      </c>
      <c r="L71" s="132">
        <f>L69-L70-Rückstellungen!K29-Rückstellungen!X29-Rückstellungen!AK29</f>
        <v/>
      </c>
      <c r="M71" s="132">
        <f>M69-M70-Rückstellungen!L29-Rückstellungen!Y29-Rückstellungen!AL29</f>
        <v/>
      </c>
      <c r="N71" s="132">
        <f>N69-N70-Rückstellungen!M29-Rückstellungen!Z29-Rückstellungen!AM29</f>
        <v/>
      </c>
      <c r="O71" s="132">
        <f>O69-O70-Rückstellungen!N29-Rückstellungen!AA29-Rückstellungen!AN29</f>
        <v/>
      </c>
      <c r="P71" s="132">
        <f>P69-P70-Rückstellungen!O29-Rückstellungen!AB29-Rückstellungen!AO29</f>
        <v/>
      </c>
      <c r="Q71" s="133">
        <f>SUM(E71:P71)</f>
        <v/>
      </c>
      <c r="R71" s="134">
        <f>IFERROR(Q71/Q69,0)</f>
        <v/>
      </c>
    </row>
    <row r="72">
      <c r="A72" s="89">
        <f>Stammdaten!A30</f>
        <v/>
      </c>
      <c r="B72" s="67">
        <f>Stammdaten!B30</f>
        <v/>
      </c>
      <c r="C72" s="67">
        <f>Stammdaten!C30</f>
        <v/>
      </c>
      <c r="D72" s="123" t="inlineStr">
        <is>
          <t>Verrechnung</t>
        </is>
      </c>
      <c r="E72" s="58" t="n">
        <v>5397.22</v>
      </c>
      <c r="F72" s="58" t="n">
        <v>5737.82</v>
      </c>
      <c r="G72" s="58" t="n">
        <v>5682.9</v>
      </c>
      <c r="H72" s="58" t="n">
        <v>5770.18</v>
      </c>
      <c r="I72" s="58" t="n">
        <v>5495.73</v>
      </c>
      <c r="J72" s="58" t="n">
        <v>5770.47</v>
      </c>
      <c r="K72" s="58" t="n">
        <v>4992.57</v>
      </c>
      <c r="L72" s="58" t="n">
        <v>5597.23</v>
      </c>
      <c r="M72" s="58" t="n">
        <v>5767.32</v>
      </c>
      <c r="N72" s="58" t="n">
        <v>5586.18</v>
      </c>
      <c r="O72" s="58" t="n">
        <v>5475.84</v>
      </c>
      <c r="P72" s="58" t="n">
        <v>5157.13</v>
      </c>
      <c r="Q72" s="28">
        <f>SUM(E72:P72)</f>
        <v/>
      </c>
    </row>
    <row r="73">
      <c r="A73" s="89">
        <f>Stammdaten!A30</f>
        <v/>
      </c>
      <c r="B73" s="67">
        <f>Stammdaten!B30</f>
        <v/>
      </c>
      <c r="C73" s="67">
        <f>Stammdaten!C30</f>
        <v/>
      </c>
      <c r="D73" s="124" t="inlineStr">
        <is>
          <t>Selbstkosten</t>
        </is>
      </c>
      <c r="E73" s="58" t="n">
        <v>2921.56</v>
      </c>
      <c r="F73" s="58" t="n">
        <v>3238.12</v>
      </c>
      <c r="G73" s="58" t="n">
        <v>3160.14</v>
      </c>
      <c r="H73" s="58" t="n">
        <v>3094.82</v>
      </c>
      <c r="I73" s="58" t="n">
        <v>3100.66</v>
      </c>
      <c r="J73" s="58" t="n">
        <v>3242.13</v>
      </c>
      <c r="K73" s="58" t="n">
        <v>2741.68</v>
      </c>
      <c r="L73" s="58" t="n">
        <v>3116.14</v>
      </c>
      <c r="M73" s="58" t="n">
        <v>3152.32</v>
      </c>
      <c r="N73" s="58" t="n">
        <v>2980.84</v>
      </c>
      <c r="O73" s="58" t="n">
        <v>3014.21</v>
      </c>
      <c r="P73" s="58" t="n">
        <v>2814.42</v>
      </c>
      <c r="Q73" s="28">
        <f>SUM(E73:P73)</f>
        <v/>
      </c>
    </row>
    <row r="74">
      <c r="A74" s="89">
        <f>Stammdaten!A30</f>
        <v/>
      </c>
      <c r="B74" s="67">
        <f>Stammdaten!B30</f>
        <v/>
      </c>
      <c r="C74" s="67">
        <f>Stammdaten!C30</f>
        <v/>
      </c>
      <c r="D74" s="125" t="inlineStr">
        <is>
          <t>DB1</t>
        </is>
      </c>
      <c r="E74" s="40">
        <f>E72-E73-Rückstellungen!D30-Rückstellungen!Q30-Rückstellungen!AD30</f>
        <v/>
      </c>
      <c r="F74" s="40">
        <f>F72-F73-Rückstellungen!E30-Rückstellungen!R30-Rückstellungen!AE30</f>
        <v/>
      </c>
      <c r="G74" s="40">
        <f>G72-G73-Rückstellungen!F30-Rückstellungen!S30-Rückstellungen!AF30</f>
        <v/>
      </c>
      <c r="H74" s="40">
        <f>H72-H73-Rückstellungen!G30-Rückstellungen!T30-Rückstellungen!AG30</f>
        <v/>
      </c>
      <c r="I74" s="40">
        <f>I72-I73-Rückstellungen!H30-Rückstellungen!U30-Rückstellungen!AH30</f>
        <v/>
      </c>
      <c r="J74" s="40">
        <f>J72-J73-Rückstellungen!I30-Rückstellungen!V30-Rückstellungen!AI30</f>
        <v/>
      </c>
      <c r="K74" s="40">
        <f>K72-K73-Rückstellungen!J30-Rückstellungen!W30-Rückstellungen!AJ30</f>
        <v/>
      </c>
      <c r="L74" s="40">
        <f>L72-L73-Rückstellungen!K30-Rückstellungen!X30-Rückstellungen!AK30</f>
        <v/>
      </c>
      <c r="M74" s="40">
        <f>M72-M73-Rückstellungen!L30-Rückstellungen!Y30-Rückstellungen!AL30</f>
        <v/>
      </c>
      <c r="N74" s="40">
        <f>N72-N73-Rückstellungen!M30-Rückstellungen!Z30-Rückstellungen!AM30</f>
        <v/>
      </c>
      <c r="O74" s="40">
        <f>O72-O73-Rückstellungen!N30-Rückstellungen!AA30-Rückstellungen!AN30</f>
        <v/>
      </c>
      <c r="P74" s="40">
        <f>P72-P73-Rückstellungen!O30-Rückstellungen!AB30-Rückstellungen!AO30</f>
        <v/>
      </c>
      <c r="Q74" s="59">
        <f>SUM(E74:P74)</f>
        <v/>
      </c>
      <c r="R74" s="126">
        <f>IFERROR(Q74/Q72,0)</f>
        <v/>
      </c>
    </row>
    <row r="75">
      <c r="A75" s="89">
        <f>Stammdaten!A31</f>
        <v/>
      </c>
      <c r="B75" s="67">
        <f>Stammdaten!B31</f>
        <v/>
      </c>
      <c r="C75" s="67">
        <f>Stammdaten!C31</f>
        <v/>
      </c>
      <c r="D75" s="123" t="inlineStr">
        <is>
          <t>Verrechnung</t>
        </is>
      </c>
      <c r="E75" s="58" t="n">
        <v>4818.67</v>
      </c>
      <c r="F75" s="58" t="n">
        <v>4632.51</v>
      </c>
      <c r="G75" s="58" t="n">
        <v>4789.98</v>
      </c>
      <c r="H75" s="58" t="n">
        <v>4954.47</v>
      </c>
      <c r="I75" s="58" t="n">
        <v>4988.71</v>
      </c>
      <c r="J75" s="58" t="n">
        <v>4977.56</v>
      </c>
      <c r="K75" s="58" t="n">
        <v>4289.47</v>
      </c>
      <c r="L75" s="58" t="n">
        <v>4762.77</v>
      </c>
      <c r="M75" s="58" t="n">
        <v>4693.12</v>
      </c>
      <c r="N75" s="58" t="n">
        <v>4639.06</v>
      </c>
      <c r="O75" s="58" t="n">
        <v>4740.84</v>
      </c>
      <c r="P75" s="58" t="n">
        <v>4265.87</v>
      </c>
      <c r="Q75" s="28">
        <f>SUM(E75:P75)</f>
        <v/>
      </c>
    </row>
    <row r="76">
      <c r="A76" s="89">
        <f>Stammdaten!A31</f>
        <v/>
      </c>
      <c r="B76" s="67">
        <f>Stammdaten!B31</f>
        <v/>
      </c>
      <c r="C76" s="67">
        <f>Stammdaten!C31</f>
        <v/>
      </c>
      <c r="D76" s="124" t="inlineStr">
        <is>
          <t>Selbstkosten</t>
        </is>
      </c>
      <c r="E76" s="58" t="n">
        <v>2558.44</v>
      </c>
      <c r="F76" s="58" t="n">
        <v>2465.86</v>
      </c>
      <c r="G76" s="58" t="n">
        <v>2613.9</v>
      </c>
      <c r="H76" s="58" t="n">
        <v>2624.33</v>
      </c>
      <c r="I76" s="58" t="n">
        <v>2779.81</v>
      </c>
      <c r="J76" s="58" t="n">
        <v>2795.1</v>
      </c>
      <c r="K76" s="58" t="n">
        <v>2318.06</v>
      </c>
      <c r="L76" s="58" t="n">
        <v>2520.96</v>
      </c>
      <c r="M76" s="58" t="n">
        <v>2526.35</v>
      </c>
      <c r="N76" s="58" t="n">
        <v>2567.01</v>
      </c>
      <c r="O76" s="58" t="n">
        <v>2520.96</v>
      </c>
      <c r="P76" s="58" t="n">
        <v>2321.27</v>
      </c>
      <c r="Q76" s="28">
        <f>SUM(E76:P76)</f>
        <v/>
      </c>
    </row>
    <row r="77">
      <c r="A77" s="89">
        <f>Stammdaten!A31</f>
        <v/>
      </c>
      <c r="B77" s="67">
        <f>Stammdaten!B31</f>
        <v/>
      </c>
      <c r="C77" s="67">
        <f>Stammdaten!C31</f>
        <v/>
      </c>
      <c r="D77" s="125" t="inlineStr">
        <is>
          <t>DB1</t>
        </is>
      </c>
      <c r="E77" s="40">
        <f>E75-E76-Rückstellungen!D31-Rückstellungen!Q31-Rückstellungen!AD31</f>
        <v/>
      </c>
      <c r="F77" s="40">
        <f>F75-F76-Rückstellungen!E31-Rückstellungen!R31-Rückstellungen!AE31</f>
        <v/>
      </c>
      <c r="G77" s="40">
        <f>G75-G76-Rückstellungen!F31-Rückstellungen!S31-Rückstellungen!AF31</f>
        <v/>
      </c>
      <c r="H77" s="40">
        <f>H75-H76-Rückstellungen!G31-Rückstellungen!T31-Rückstellungen!AG31</f>
        <v/>
      </c>
      <c r="I77" s="40">
        <f>I75-I76-Rückstellungen!H31-Rückstellungen!U31-Rückstellungen!AH31</f>
        <v/>
      </c>
      <c r="J77" s="40">
        <f>J75-J76-Rückstellungen!I31-Rückstellungen!V31-Rückstellungen!AI31</f>
        <v/>
      </c>
      <c r="K77" s="40">
        <f>K75-K76-Rückstellungen!J31-Rückstellungen!W31-Rückstellungen!AJ31</f>
        <v/>
      </c>
      <c r="L77" s="40">
        <f>L75-L76-Rückstellungen!K31-Rückstellungen!X31-Rückstellungen!AK31</f>
        <v/>
      </c>
      <c r="M77" s="40">
        <f>M75-M76-Rückstellungen!L31-Rückstellungen!Y31-Rückstellungen!AL31</f>
        <v/>
      </c>
      <c r="N77" s="40">
        <f>N75-N76-Rückstellungen!M31-Rückstellungen!Z31-Rückstellungen!AM31</f>
        <v/>
      </c>
      <c r="O77" s="40">
        <f>O75-O76-Rückstellungen!N31-Rückstellungen!AA31-Rückstellungen!AN31</f>
        <v/>
      </c>
      <c r="P77" s="40">
        <f>P75-P76-Rückstellungen!O31-Rückstellungen!AB31-Rückstellungen!AO31</f>
        <v/>
      </c>
      <c r="Q77" s="59">
        <f>SUM(E77:P77)</f>
        <v/>
      </c>
      <c r="R77" s="126">
        <f>IFERROR(Q77/Q75,0)</f>
        <v/>
      </c>
    </row>
    <row r="78">
      <c r="A78" s="89">
        <f>Stammdaten!A32</f>
        <v/>
      </c>
      <c r="B78" s="67">
        <f>Stammdaten!B32</f>
        <v/>
      </c>
      <c r="C78" s="67">
        <f>Stammdaten!C32</f>
        <v/>
      </c>
      <c r="D78" s="123" t="inlineStr">
        <is>
          <t>Verrechnung</t>
        </is>
      </c>
      <c r="E78" s="58" t="n">
        <v>6355.83</v>
      </c>
      <c r="F78" s="58" t="n">
        <v>6019.88</v>
      </c>
      <c r="G78" s="58" t="n">
        <v>6093.4</v>
      </c>
      <c r="H78" s="58" t="n">
        <v>6352.19</v>
      </c>
      <c r="I78" s="58" t="n">
        <v>6446.44</v>
      </c>
      <c r="J78" s="58" t="n">
        <v>6077.82</v>
      </c>
      <c r="K78" s="58" t="n">
        <v>5893.68</v>
      </c>
      <c r="L78" s="58" t="n">
        <v>6480.53</v>
      </c>
      <c r="M78" s="58" t="n">
        <v>6311.16</v>
      </c>
      <c r="N78" s="58" t="n">
        <v>6333.13</v>
      </c>
      <c r="O78" s="58" t="n">
        <v>6173.26</v>
      </c>
      <c r="P78" s="58" t="n">
        <v>5649.09</v>
      </c>
      <c r="Q78" s="28">
        <f>SUM(E78:P78)</f>
        <v/>
      </c>
    </row>
    <row r="79">
      <c r="A79" s="89">
        <f>Stammdaten!A32</f>
        <v/>
      </c>
      <c r="B79" s="67">
        <f>Stammdaten!B32</f>
        <v/>
      </c>
      <c r="C79" s="67">
        <f>Stammdaten!C32</f>
        <v/>
      </c>
      <c r="D79" s="124" t="inlineStr">
        <is>
          <t>Selbstkosten</t>
        </is>
      </c>
      <c r="E79" s="58" t="n">
        <v>3356.24</v>
      </c>
      <c r="F79" s="58" t="n">
        <v>3030.22</v>
      </c>
      <c r="G79" s="58" t="n">
        <v>3225.15</v>
      </c>
      <c r="H79" s="58" t="n">
        <v>3244.66</v>
      </c>
      <c r="I79" s="58" t="n">
        <v>3250</v>
      </c>
      <c r="J79" s="58" t="n">
        <v>3064.33</v>
      </c>
      <c r="K79" s="58" t="n">
        <v>2934.47</v>
      </c>
      <c r="L79" s="58" t="n">
        <v>3327.97</v>
      </c>
      <c r="M79" s="58" t="n">
        <v>3270.82</v>
      </c>
      <c r="N79" s="58" t="n">
        <v>3301.82</v>
      </c>
      <c r="O79" s="58" t="n">
        <v>3060.15</v>
      </c>
      <c r="P79" s="58" t="n">
        <v>2837.85</v>
      </c>
      <c r="Q79" s="28">
        <f>SUM(E79:P79)</f>
        <v/>
      </c>
    </row>
    <row r="80">
      <c r="A80" s="89">
        <f>Stammdaten!A32</f>
        <v/>
      </c>
      <c r="B80" s="67">
        <f>Stammdaten!B32</f>
        <v/>
      </c>
      <c r="C80" s="67">
        <f>Stammdaten!C32</f>
        <v/>
      </c>
      <c r="D80" s="125" t="inlineStr">
        <is>
          <t>DB1</t>
        </is>
      </c>
      <c r="E80" s="40">
        <f>E78-E79-Rückstellungen!D32-Rückstellungen!Q32-Rückstellungen!AD32</f>
        <v/>
      </c>
      <c r="F80" s="40">
        <f>F78-F79-Rückstellungen!E32-Rückstellungen!R32-Rückstellungen!AE32</f>
        <v/>
      </c>
      <c r="G80" s="40">
        <f>G78-G79-Rückstellungen!F32-Rückstellungen!S32-Rückstellungen!AF32</f>
        <v/>
      </c>
      <c r="H80" s="40">
        <f>H78-H79-Rückstellungen!G32-Rückstellungen!T32-Rückstellungen!AG32</f>
        <v/>
      </c>
      <c r="I80" s="40">
        <f>I78-I79-Rückstellungen!H32-Rückstellungen!U32-Rückstellungen!AH32</f>
        <v/>
      </c>
      <c r="J80" s="40">
        <f>J78-J79-Rückstellungen!I32-Rückstellungen!V32-Rückstellungen!AI32</f>
        <v/>
      </c>
      <c r="K80" s="40">
        <f>K78-K79-Rückstellungen!J32-Rückstellungen!W32-Rückstellungen!AJ32</f>
        <v/>
      </c>
      <c r="L80" s="40">
        <f>L78-L79-Rückstellungen!K32-Rückstellungen!X32-Rückstellungen!AK32</f>
        <v/>
      </c>
      <c r="M80" s="40">
        <f>M78-M79-Rückstellungen!L32-Rückstellungen!Y32-Rückstellungen!AL32</f>
        <v/>
      </c>
      <c r="N80" s="40">
        <f>N78-N79-Rückstellungen!M32-Rückstellungen!Z32-Rückstellungen!AM32</f>
        <v/>
      </c>
      <c r="O80" s="40">
        <f>O78-O79-Rückstellungen!N32-Rückstellungen!AA32-Rückstellungen!AN32</f>
        <v/>
      </c>
      <c r="P80" s="40">
        <f>P78-P79-Rückstellungen!O32-Rückstellungen!AB32-Rückstellungen!AO32</f>
        <v/>
      </c>
      <c r="Q80" s="59">
        <f>SUM(E80:P80)</f>
        <v/>
      </c>
      <c r="R80" s="126">
        <f>IFERROR(Q80/Q78,0)</f>
        <v/>
      </c>
    </row>
    <row r="81">
      <c r="A81" s="89">
        <f>Stammdaten!A33</f>
        <v/>
      </c>
      <c r="B81" s="67">
        <f>Stammdaten!B33</f>
        <v/>
      </c>
      <c r="C81" s="67">
        <f>Stammdaten!C33</f>
        <v/>
      </c>
      <c r="D81" s="123" t="inlineStr">
        <is>
          <t>Verrechnung</t>
        </is>
      </c>
      <c r="E81" s="58" t="n">
        <v>6001.14</v>
      </c>
      <c r="F81" s="58" t="n">
        <v>5914.9</v>
      </c>
      <c r="G81" s="58" t="n">
        <v>5519.26</v>
      </c>
      <c r="H81" s="58" t="n">
        <v>5531.24</v>
      </c>
      <c r="I81" s="58" t="n">
        <v>5701.55</v>
      </c>
      <c r="J81" s="58" t="n">
        <v>5693.18</v>
      </c>
      <c r="K81" s="58" t="n">
        <v>5140.11</v>
      </c>
      <c r="L81" s="58" t="n">
        <v>5809.28</v>
      </c>
      <c r="M81" s="58" t="n">
        <v>5577.66</v>
      </c>
      <c r="N81" s="58" t="n">
        <v>5683.6</v>
      </c>
      <c r="O81" s="58" t="n">
        <v>5937.6</v>
      </c>
      <c r="P81" s="58" t="n">
        <v>5569.97</v>
      </c>
      <c r="Q81" s="28">
        <f>SUM(E81:P81)</f>
        <v/>
      </c>
    </row>
    <row r="82">
      <c r="A82" s="89">
        <f>Stammdaten!A33</f>
        <v/>
      </c>
      <c r="B82" s="67">
        <f>Stammdaten!B33</f>
        <v/>
      </c>
      <c r="C82" s="67">
        <f>Stammdaten!C33</f>
        <v/>
      </c>
      <c r="D82" s="124" t="inlineStr">
        <is>
          <t>Selbstkosten</t>
        </is>
      </c>
      <c r="E82" s="58" t="n">
        <v>3005.95</v>
      </c>
      <c r="F82" s="58" t="n">
        <v>2955.25</v>
      </c>
      <c r="G82" s="58" t="n">
        <v>2827.78</v>
      </c>
      <c r="H82" s="58" t="n">
        <v>2740.33</v>
      </c>
      <c r="I82" s="58" t="n">
        <v>2896.19</v>
      </c>
      <c r="J82" s="58" t="n">
        <v>2757.33</v>
      </c>
      <c r="K82" s="58" t="n">
        <v>2495.92</v>
      </c>
      <c r="L82" s="58" t="n">
        <v>2952.8</v>
      </c>
      <c r="M82" s="58" t="n">
        <v>2756.62</v>
      </c>
      <c r="N82" s="58" t="n">
        <v>2866.41</v>
      </c>
      <c r="O82" s="58" t="n">
        <v>3003.16</v>
      </c>
      <c r="P82" s="58" t="n">
        <v>2719.88</v>
      </c>
      <c r="Q82" s="28">
        <f>SUM(E82:P82)</f>
        <v/>
      </c>
    </row>
    <row r="83">
      <c r="A83" s="89">
        <f>Stammdaten!A33</f>
        <v/>
      </c>
      <c r="B83" s="67">
        <f>Stammdaten!B33</f>
        <v/>
      </c>
      <c r="C83" s="67">
        <f>Stammdaten!C33</f>
        <v/>
      </c>
      <c r="D83" s="125" t="inlineStr">
        <is>
          <t>DB1</t>
        </is>
      </c>
      <c r="E83" s="40">
        <f>E81-E82-Rückstellungen!D33-Rückstellungen!Q33-Rückstellungen!AD33</f>
        <v/>
      </c>
      <c r="F83" s="40">
        <f>F81-F82-Rückstellungen!E33-Rückstellungen!R33-Rückstellungen!AE33</f>
        <v/>
      </c>
      <c r="G83" s="40">
        <f>G81-G82-Rückstellungen!F33-Rückstellungen!S33-Rückstellungen!AF33</f>
        <v/>
      </c>
      <c r="H83" s="40">
        <f>H81-H82-Rückstellungen!G33-Rückstellungen!T33-Rückstellungen!AG33</f>
        <v/>
      </c>
      <c r="I83" s="40">
        <f>I81-I82-Rückstellungen!H33-Rückstellungen!U33-Rückstellungen!AH33</f>
        <v/>
      </c>
      <c r="J83" s="40">
        <f>J81-J82-Rückstellungen!I33-Rückstellungen!V33-Rückstellungen!AI33</f>
        <v/>
      </c>
      <c r="K83" s="40">
        <f>K81-K82-Rückstellungen!J33-Rückstellungen!W33-Rückstellungen!AJ33</f>
        <v/>
      </c>
      <c r="L83" s="40">
        <f>L81-L82-Rückstellungen!K33-Rückstellungen!X33-Rückstellungen!AK33</f>
        <v/>
      </c>
      <c r="M83" s="40">
        <f>M81-M82-Rückstellungen!L33-Rückstellungen!Y33-Rückstellungen!AL33</f>
        <v/>
      </c>
      <c r="N83" s="40">
        <f>N81-N82-Rückstellungen!M33-Rückstellungen!Z33-Rückstellungen!AM33</f>
        <v/>
      </c>
      <c r="O83" s="40">
        <f>O81-O82-Rückstellungen!N33-Rückstellungen!AA33-Rückstellungen!AN33</f>
        <v/>
      </c>
      <c r="P83" s="40">
        <f>P81-P82-Rückstellungen!O33-Rückstellungen!AB33-Rückstellungen!AO33</f>
        <v/>
      </c>
      <c r="Q83" s="59">
        <f>SUM(E83:P83)</f>
        <v/>
      </c>
      <c r="R83" s="126">
        <f>IFERROR(Q83/Q81,0)</f>
        <v/>
      </c>
    </row>
    <row r="84">
      <c r="A84" s="89">
        <f>Stammdaten!A34</f>
        <v/>
      </c>
      <c r="B84" s="67">
        <f>Stammdaten!B34</f>
        <v/>
      </c>
      <c r="C84" s="67">
        <f>Stammdaten!C34</f>
        <v/>
      </c>
      <c r="D84" s="123" t="inlineStr">
        <is>
          <t>Verrechnung</t>
        </is>
      </c>
      <c r="E84" s="58" t="n">
        <v>3883.69</v>
      </c>
      <c r="F84" s="58" t="n">
        <v>4157.31</v>
      </c>
      <c r="G84" s="58" t="n">
        <v>3984.78</v>
      </c>
      <c r="H84" s="58" t="n">
        <v>4014.76</v>
      </c>
      <c r="I84" s="58" t="n">
        <v>4042.03</v>
      </c>
      <c r="J84" s="58" t="n">
        <v>4104.99</v>
      </c>
      <c r="K84" s="58" t="n">
        <v>3706.67</v>
      </c>
      <c r="L84" s="58" t="n">
        <v>3969.4</v>
      </c>
      <c r="M84" s="58" t="n">
        <v>4028.81</v>
      </c>
      <c r="N84" s="58" t="n">
        <v>4029.82</v>
      </c>
      <c r="O84" s="58" t="n">
        <v>3993.28</v>
      </c>
      <c r="P84" s="58" t="n">
        <v>3735.51</v>
      </c>
      <c r="Q84" s="28">
        <f>SUM(E84:P84)</f>
        <v/>
      </c>
    </row>
    <row r="85">
      <c r="A85" s="89">
        <f>Stammdaten!A34</f>
        <v/>
      </c>
      <c r="B85" s="67">
        <f>Stammdaten!B34</f>
        <v/>
      </c>
      <c r="C85" s="67">
        <f>Stammdaten!C34</f>
        <v/>
      </c>
      <c r="D85" s="124" t="inlineStr">
        <is>
          <t>Selbstkosten</t>
        </is>
      </c>
      <c r="E85" s="58" t="n">
        <v>2188.73</v>
      </c>
      <c r="F85" s="58" t="n">
        <v>2456.96</v>
      </c>
      <c r="G85" s="58" t="n">
        <v>2263.03</v>
      </c>
      <c r="H85" s="58" t="n">
        <v>2361.38</v>
      </c>
      <c r="I85" s="58" t="n">
        <v>2251.24</v>
      </c>
      <c r="J85" s="58" t="n">
        <v>2327.35</v>
      </c>
      <c r="K85" s="58" t="n">
        <v>2156.45</v>
      </c>
      <c r="L85" s="58" t="n">
        <v>2332.15</v>
      </c>
      <c r="M85" s="58" t="n">
        <v>2302.56</v>
      </c>
      <c r="N85" s="58" t="n">
        <v>2393.03</v>
      </c>
      <c r="O85" s="58" t="n">
        <v>2248.13</v>
      </c>
      <c r="P85" s="58" t="n">
        <v>2194.42</v>
      </c>
      <c r="Q85" s="28">
        <f>SUM(E85:P85)</f>
        <v/>
      </c>
    </row>
    <row r="86">
      <c r="A86" s="89">
        <f>Stammdaten!A34</f>
        <v/>
      </c>
      <c r="B86" s="67">
        <f>Stammdaten!B34</f>
        <v/>
      </c>
      <c r="C86" s="67">
        <f>Stammdaten!C34</f>
        <v/>
      </c>
      <c r="D86" s="125" t="inlineStr">
        <is>
          <t>DB1</t>
        </is>
      </c>
      <c r="E86" s="40">
        <f>E84-E85-Rückstellungen!D34-Rückstellungen!Q34-Rückstellungen!AD34</f>
        <v/>
      </c>
      <c r="F86" s="40">
        <f>F84-F85-Rückstellungen!E34-Rückstellungen!R34-Rückstellungen!AE34</f>
        <v/>
      </c>
      <c r="G86" s="40">
        <f>G84-G85-Rückstellungen!F34-Rückstellungen!S34-Rückstellungen!AF34</f>
        <v/>
      </c>
      <c r="H86" s="40">
        <f>H84-H85-Rückstellungen!G34-Rückstellungen!T34-Rückstellungen!AG34</f>
        <v/>
      </c>
      <c r="I86" s="40">
        <f>I84-I85-Rückstellungen!H34-Rückstellungen!U34-Rückstellungen!AH34</f>
        <v/>
      </c>
      <c r="J86" s="40">
        <f>J84-J85-Rückstellungen!I34-Rückstellungen!V34-Rückstellungen!AI34</f>
        <v/>
      </c>
      <c r="K86" s="40">
        <f>K84-K85-Rückstellungen!J34-Rückstellungen!W34-Rückstellungen!AJ34</f>
        <v/>
      </c>
      <c r="L86" s="40">
        <f>L84-L85-Rückstellungen!K34-Rückstellungen!X34-Rückstellungen!AK34</f>
        <v/>
      </c>
      <c r="M86" s="40">
        <f>M84-M85-Rückstellungen!L34-Rückstellungen!Y34-Rückstellungen!AL34</f>
        <v/>
      </c>
      <c r="N86" s="40">
        <f>N84-N85-Rückstellungen!M34-Rückstellungen!Z34-Rückstellungen!AM34</f>
        <v/>
      </c>
      <c r="O86" s="40">
        <f>O84-O85-Rückstellungen!N34-Rückstellungen!AA34-Rückstellungen!AN34</f>
        <v/>
      </c>
      <c r="P86" s="40">
        <f>P84-P85-Rückstellungen!O34-Rückstellungen!AB34-Rückstellungen!AO34</f>
        <v/>
      </c>
      <c r="Q86" s="59">
        <f>SUM(E86:P86)</f>
        <v/>
      </c>
      <c r="R86" s="126">
        <f>IFERROR(Q86/Q84,0)</f>
        <v/>
      </c>
    </row>
    <row r="87">
      <c r="A87" s="89">
        <f>Stammdaten!A35</f>
        <v/>
      </c>
      <c r="B87" s="67">
        <f>Stammdaten!B35</f>
        <v/>
      </c>
      <c r="C87" s="67">
        <f>Stammdaten!C35</f>
        <v/>
      </c>
      <c r="D87" s="123" t="inlineStr">
        <is>
          <t>Verrechnung</t>
        </is>
      </c>
      <c r="E87" s="58" t="n">
        <v>4447.96</v>
      </c>
      <c r="F87" s="58" t="n">
        <v>4347.7</v>
      </c>
      <c r="G87" s="58" t="n">
        <v>4316.49</v>
      </c>
      <c r="H87" s="58" t="n">
        <v>4393.86</v>
      </c>
      <c r="I87" s="58" t="n">
        <v>4563.02</v>
      </c>
      <c r="J87" s="58" t="n">
        <v>4453.29</v>
      </c>
      <c r="K87" s="58" t="n">
        <v>4349.4</v>
      </c>
      <c r="L87" s="58" t="n">
        <v>4449.7</v>
      </c>
      <c r="M87" s="58" t="n">
        <v>4592.6</v>
      </c>
      <c r="N87" s="58" t="n">
        <v>4544.39</v>
      </c>
      <c r="O87" s="58" t="n">
        <v>4481.02</v>
      </c>
      <c r="P87" s="58" t="n">
        <v>3726.99</v>
      </c>
      <c r="Q87" s="28">
        <f>SUM(E87:P87)</f>
        <v/>
      </c>
    </row>
    <row r="88">
      <c r="A88" s="89">
        <f>Stammdaten!A35</f>
        <v/>
      </c>
      <c r="B88" s="67">
        <f>Stammdaten!B35</f>
        <v/>
      </c>
      <c r="C88" s="67">
        <f>Stammdaten!C35</f>
        <v/>
      </c>
      <c r="D88" s="124" t="inlineStr">
        <is>
          <t>Selbstkosten</t>
        </is>
      </c>
      <c r="E88" s="58" t="n">
        <v>3531.5</v>
      </c>
      <c r="F88" s="58" t="n">
        <v>3288.9</v>
      </c>
      <c r="G88" s="58" t="n">
        <v>3273.17</v>
      </c>
      <c r="H88" s="58" t="n">
        <v>3359.56</v>
      </c>
      <c r="I88" s="58" t="n">
        <v>3420.77</v>
      </c>
      <c r="J88" s="58" t="n">
        <v>3405.29</v>
      </c>
      <c r="K88" s="58" t="n">
        <v>3364.84</v>
      </c>
      <c r="L88" s="58" t="n">
        <v>3448.29</v>
      </c>
      <c r="M88" s="58" t="n">
        <v>3416.12</v>
      </c>
      <c r="N88" s="58" t="n">
        <v>3465</v>
      </c>
      <c r="O88" s="58" t="n">
        <v>3499.01</v>
      </c>
      <c r="P88" s="58" t="n">
        <v>2929.91</v>
      </c>
      <c r="Q88" s="28">
        <f>SUM(E88:P88)</f>
        <v/>
      </c>
    </row>
    <row r="89">
      <c r="A89" s="89">
        <f>Stammdaten!A35</f>
        <v/>
      </c>
      <c r="B89" s="67">
        <f>Stammdaten!B35</f>
        <v/>
      </c>
      <c r="C89" s="67">
        <f>Stammdaten!C35</f>
        <v/>
      </c>
      <c r="D89" s="125" t="inlineStr">
        <is>
          <t>DB1</t>
        </is>
      </c>
      <c r="E89" s="40">
        <f>E87-E88-Rückstellungen!D35-Rückstellungen!Q35-Rückstellungen!AD35</f>
        <v/>
      </c>
      <c r="F89" s="40">
        <f>F87-F88-Rückstellungen!E35-Rückstellungen!R35-Rückstellungen!AE35</f>
        <v/>
      </c>
      <c r="G89" s="40">
        <f>G87-G88-Rückstellungen!F35-Rückstellungen!S35-Rückstellungen!AF35</f>
        <v/>
      </c>
      <c r="H89" s="40">
        <f>H87-H88-Rückstellungen!G35-Rückstellungen!T35-Rückstellungen!AG35</f>
        <v/>
      </c>
      <c r="I89" s="40">
        <f>I87-I88-Rückstellungen!H35-Rückstellungen!U35-Rückstellungen!AH35</f>
        <v/>
      </c>
      <c r="J89" s="40">
        <f>J87-J88-Rückstellungen!I35-Rückstellungen!V35-Rückstellungen!AI35</f>
        <v/>
      </c>
      <c r="K89" s="40">
        <f>K87-K88-Rückstellungen!J35-Rückstellungen!W35-Rückstellungen!AJ35</f>
        <v/>
      </c>
      <c r="L89" s="40">
        <f>L87-L88-Rückstellungen!K35-Rückstellungen!X35-Rückstellungen!AK35</f>
        <v/>
      </c>
      <c r="M89" s="40">
        <f>M87-M88-Rückstellungen!L35-Rückstellungen!Y35-Rückstellungen!AL35</f>
        <v/>
      </c>
      <c r="N89" s="40">
        <f>N87-N88-Rückstellungen!M35-Rückstellungen!Z35-Rückstellungen!AM35</f>
        <v/>
      </c>
      <c r="O89" s="40">
        <f>O87-O88-Rückstellungen!N35-Rückstellungen!AA35-Rückstellungen!AN35</f>
        <v/>
      </c>
      <c r="P89" s="40">
        <f>P87-P88-Rückstellungen!O35-Rückstellungen!AB35-Rückstellungen!AO35</f>
        <v/>
      </c>
      <c r="Q89" s="59">
        <f>SUM(E89:P89)</f>
        <v/>
      </c>
      <c r="R89" s="126">
        <f>IFERROR(Q89/Q87,0)</f>
        <v/>
      </c>
    </row>
    <row r="90">
      <c r="A90" s="89">
        <f>Stammdaten!A36</f>
        <v/>
      </c>
      <c r="B90" s="67">
        <f>Stammdaten!B36</f>
        <v/>
      </c>
      <c r="C90" s="67">
        <f>Stammdaten!C36</f>
        <v/>
      </c>
      <c r="D90" s="123" t="inlineStr">
        <is>
          <t>Verrechnung</t>
        </is>
      </c>
      <c r="E90" s="58" t="n">
        <v>5661.64</v>
      </c>
      <c r="F90" s="58" t="n">
        <v>5727.15</v>
      </c>
      <c r="G90" s="58" t="n">
        <v>5555.91</v>
      </c>
      <c r="H90" s="58" t="n">
        <v>5772.73</v>
      </c>
      <c r="I90" s="58" t="n">
        <v>5769.62</v>
      </c>
      <c r="J90" s="58" t="n">
        <v>5610.59</v>
      </c>
      <c r="K90" s="58" t="n">
        <v>5045.67</v>
      </c>
      <c r="L90" s="58" t="n">
        <v>5552.55</v>
      </c>
      <c r="M90" s="58" t="n">
        <v>5807.95</v>
      </c>
      <c r="N90" s="58" t="n">
        <v>5600.24</v>
      </c>
      <c r="O90" s="58" t="n">
        <v>5904.69</v>
      </c>
      <c r="P90" s="58" t="n">
        <v>5447.72</v>
      </c>
      <c r="Q90" s="28">
        <f>SUM(E90:P90)</f>
        <v/>
      </c>
    </row>
    <row r="91">
      <c r="A91" s="89">
        <f>Stammdaten!A36</f>
        <v/>
      </c>
      <c r="B91" s="67">
        <f>Stammdaten!B36</f>
        <v/>
      </c>
      <c r="C91" s="67">
        <f>Stammdaten!C36</f>
        <v/>
      </c>
      <c r="D91" s="124" t="inlineStr">
        <is>
          <t>Selbstkosten</t>
        </is>
      </c>
      <c r="E91" s="58" t="n">
        <v>2680.68</v>
      </c>
      <c r="F91" s="58" t="n">
        <v>2768.6</v>
      </c>
      <c r="G91" s="58" t="n">
        <v>2541.42</v>
      </c>
      <c r="H91" s="58" t="n">
        <v>2681.6</v>
      </c>
      <c r="I91" s="58" t="n">
        <v>2624.76</v>
      </c>
      <c r="J91" s="58" t="n">
        <v>2605.55</v>
      </c>
      <c r="K91" s="58" t="n">
        <v>2440.98</v>
      </c>
      <c r="L91" s="58" t="n">
        <v>2545.8</v>
      </c>
      <c r="M91" s="58" t="n">
        <v>2800.85</v>
      </c>
      <c r="N91" s="58" t="n">
        <v>2675.34</v>
      </c>
      <c r="O91" s="58" t="n">
        <v>2712.75</v>
      </c>
      <c r="P91" s="58" t="n">
        <v>2642.26</v>
      </c>
      <c r="Q91" s="28">
        <f>SUM(E91:P91)</f>
        <v/>
      </c>
    </row>
    <row r="92">
      <c r="A92" s="89">
        <f>Stammdaten!A36</f>
        <v/>
      </c>
      <c r="B92" s="67">
        <f>Stammdaten!B36</f>
        <v/>
      </c>
      <c r="C92" s="67">
        <f>Stammdaten!C36</f>
        <v/>
      </c>
      <c r="D92" s="125" t="inlineStr">
        <is>
          <t>DB1</t>
        </is>
      </c>
      <c r="E92" s="40">
        <f>E90-E91-Rückstellungen!D36-Rückstellungen!Q36-Rückstellungen!AD36</f>
        <v/>
      </c>
      <c r="F92" s="40">
        <f>F90-F91-Rückstellungen!E36-Rückstellungen!R36-Rückstellungen!AE36</f>
        <v/>
      </c>
      <c r="G92" s="40">
        <f>G90-G91-Rückstellungen!F36-Rückstellungen!S36-Rückstellungen!AF36</f>
        <v/>
      </c>
      <c r="H92" s="40">
        <f>H90-H91-Rückstellungen!G36-Rückstellungen!T36-Rückstellungen!AG36</f>
        <v/>
      </c>
      <c r="I92" s="40">
        <f>I90-I91-Rückstellungen!H36-Rückstellungen!U36-Rückstellungen!AH36</f>
        <v/>
      </c>
      <c r="J92" s="40">
        <f>J90-J91-Rückstellungen!I36-Rückstellungen!V36-Rückstellungen!AI36</f>
        <v/>
      </c>
      <c r="K92" s="40">
        <f>K90-K91-Rückstellungen!J36-Rückstellungen!W36-Rückstellungen!AJ36</f>
        <v/>
      </c>
      <c r="L92" s="40">
        <f>L90-L91-Rückstellungen!K36-Rückstellungen!X36-Rückstellungen!AK36</f>
        <v/>
      </c>
      <c r="M92" s="40">
        <f>M90-M91-Rückstellungen!L36-Rückstellungen!Y36-Rückstellungen!AL36</f>
        <v/>
      </c>
      <c r="N92" s="40">
        <f>N90-N91-Rückstellungen!M36-Rückstellungen!Z36-Rückstellungen!AM36</f>
        <v/>
      </c>
      <c r="O92" s="40">
        <f>O90-O91-Rückstellungen!N36-Rückstellungen!AA36-Rückstellungen!AN36</f>
        <v/>
      </c>
      <c r="P92" s="40">
        <f>P90-P91-Rückstellungen!O36-Rückstellungen!AB36-Rückstellungen!AO36</f>
        <v/>
      </c>
      <c r="Q92" s="59">
        <f>SUM(E92:P92)</f>
        <v/>
      </c>
      <c r="R92" s="126">
        <f>IFERROR(Q92/Q90,0)</f>
        <v/>
      </c>
    </row>
    <row r="93">
      <c r="A93" s="89">
        <f>Stammdaten!A37</f>
        <v/>
      </c>
      <c r="B93" s="67">
        <f>Stammdaten!B37</f>
        <v/>
      </c>
      <c r="C93" s="67">
        <f>Stammdaten!C37</f>
        <v/>
      </c>
      <c r="D93" s="123" t="inlineStr">
        <is>
          <t>Verrechnung</t>
        </is>
      </c>
      <c r="E93" s="58" t="n">
        <v>4136.84</v>
      </c>
      <c r="F93" s="58" t="n">
        <v>4451.55</v>
      </c>
      <c r="G93" s="58" t="n">
        <v>4440.22</v>
      </c>
      <c r="H93" s="58" t="n">
        <v>4325.83</v>
      </c>
      <c r="I93" s="58" t="n">
        <v>4280.86</v>
      </c>
      <c r="J93" s="58" t="n">
        <v>4185.43</v>
      </c>
      <c r="K93" s="58" t="n">
        <v>4056.85</v>
      </c>
      <c r="L93" s="58" t="n">
        <v>4208.91</v>
      </c>
      <c r="M93" s="58" t="n">
        <v>4446.93</v>
      </c>
      <c r="N93" s="58" t="n">
        <v>4161.3</v>
      </c>
      <c r="O93" s="58" t="n">
        <v>4208.68</v>
      </c>
      <c r="P93" s="58" t="n">
        <v>4028.58</v>
      </c>
      <c r="Q93" s="28">
        <f>SUM(E93:P93)</f>
        <v/>
      </c>
    </row>
    <row r="94">
      <c r="A94" s="89">
        <f>Stammdaten!A37</f>
        <v/>
      </c>
      <c r="B94" s="67">
        <f>Stammdaten!B37</f>
        <v/>
      </c>
      <c r="C94" s="67">
        <f>Stammdaten!C37</f>
        <v/>
      </c>
      <c r="D94" s="124" t="inlineStr">
        <is>
          <t>Selbstkosten</t>
        </is>
      </c>
      <c r="E94" s="58" t="n">
        <v>2472.2</v>
      </c>
      <c r="F94" s="58" t="n">
        <v>2678.01</v>
      </c>
      <c r="G94" s="58" t="n">
        <v>2703.25</v>
      </c>
      <c r="H94" s="58" t="n">
        <v>2584.46</v>
      </c>
      <c r="I94" s="58" t="n">
        <v>2483.99</v>
      </c>
      <c r="J94" s="58" t="n">
        <v>2405.81</v>
      </c>
      <c r="K94" s="58" t="n">
        <v>2334.66</v>
      </c>
      <c r="L94" s="58" t="n">
        <v>2430.83</v>
      </c>
      <c r="M94" s="58" t="n">
        <v>2671.86</v>
      </c>
      <c r="N94" s="58" t="n">
        <v>2449.38</v>
      </c>
      <c r="O94" s="58" t="n">
        <v>2490.78</v>
      </c>
      <c r="P94" s="58" t="n">
        <v>2311.07</v>
      </c>
      <c r="Q94" s="28">
        <f>SUM(E94:P94)</f>
        <v/>
      </c>
    </row>
    <row r="95">
      <c r="A95" s="89">
        <f>Stammdaten!A37</f>
        <v/>
      </c>
      <c r="B95" s="67">
        <f>Stammdaten!B37</f>
        <v/>
      </c>
      <c r="C95" s="67">
        <f>Stammdaten!C37</f>
        <v/>
      </c>
      <c r="D95" s="125" t="inlineStr">
        <is>
          <t>DB1</t>
        </is>
      </c>
      <c r="E95" s="40">
        <f>E93-E94-Rückstellungen!D37-Rückstellungen!Q37-Rückstellungen!AD37</f>
        <v/>
      </c>
      <c r="F95" s="40">
        <f>F93-F94-Rückstellungen!E37-Rückstellungen!R37-Rückstellungen!AE37</f>
        <v/>
      </c>
      <c r="G95" s="40">
        <f>G93-G94-Rückstellungen!F37-Rückstellungen!S37-Rückstellungen!AF37</f>
        <v/>
      </c>
      <c r="H95" s="40">
        <f>H93-H94-Rückstellungen!G37-Rückstellungen!T37-Rückstellungen!AG37</f>
        <v/>
      </c>
      <c r="I95" s="40">
        <f>I93-I94-Rückstellungen!H37-Rückstellungen!U37-Rückstellungen!AH37</f>
        <v/>
      </c>
      <c r="J95" s="40">
        <f>J93-J94-Rückstellungen!I37-Rückstellungen!V37-Rückstellungen!AI37</f>
        <v/>
      </c>
      <c r="K95" s="40">
        <f>K93-K94-Rückstellungen!J37-Rückstellungen!W37-Rückstellungen!AJ37</f>
        <v/>
      </c>
      <c r="L95" s="40">
        <f>L93-L94-Rückstellungen!K37-Rückstellungen!X37-Rückstellungen!AK37</f>
        <v/>
      </c>
      <c r="M95" s="40">
        <f>M93-M94-Rückstellungen!L37-Rückstellungen!Y37-Rückstellungen!AL37</f>
        <v/>
      </c>
      <c r="N95" s="40">
        <f>N93-N94-Rückstellungen!M37-Rückstellungen!Z37-Rückstellungen!AM37</f>
        <v/>
      </c>
      <c r="O95" s="40">
        <f>O93-O94-Rückstellungen!N37-Rückstellungen!AA37-Rückstellungen!AN37</f>
        <v/>
      </c>
      <c r="P95" s="40">
        <f>P93-P94-Rückstellungen!O37-Rückstellungen!AB37-Rückstellungen!AO37</f>
        <v/>
      </c>
      <c r="Q95" s="59">
        <f>SUM(E95:P95)</f>
        <v/>
      </c>
      <c r="R95" s="126">
        <f>IFERROR(Q95/Q93,0)</f>
        <v/>
      </c>
    </row>
    <row r="96">
      <c r="A96" s="89">
        <f>Stammdaten!A38</f>
        <v/>
      </c>
      <c r="B96" s="67">
        <f>Stammdaten!B38</f>
        <v/>
      </c>
      <c r="C96" s="67">
        <f>Stammdaten!C38</f>
        <v/>
      </c>
      <c r="D96" s="123" t="inlineStr">
        <is>
          <t>Verrechnung</t>
        </is>
      </c>
      <c r="E96" s="58" t="n">
        <v>6587.27</v>
      </c>
      <c r="F96" s="58" t="n">
        <v>6410.12</v>
      </c>
      <c r="G96" s="58" t="n">
        <v>6505.08</v>
      </c>
      <c r="H96" s="58" t="n">
        <v>6355.86</v>
      </c>
      <c r="I96" s="58" t="n">
        <v>6441.97</v>
      </c>
      <c r="J96" s="58" t="n">
        <v>6246.67</v>
      </c>
      <c r="K96" s="58" t="n">
        <v>5966.5</v>
      </c>
      <c r="L96" s="58" t="n">
        <v>6247.07</v>
      </c>
      <c r="M96" s="58" t="n">
        <v>6674.81</v>
      </c>
      <c r="N96" s="58" t="n">
        <v>6472.21</v>
      </c>
      <c r="O96" s="58" t="n">
        <v>6266.13</v>
      </c>
      <c r="P96" s="58" t="n">
        <v>5894.41</v>
      </c>
      <c r="Q96" s="28">
        <f>SUM(E96:P96)</f>
        <v/>
      </c>
    </row>
    <row r="97">
      <c r="A97" s="89">
        <f>Stammdaten!A38</f>
        <v/>
      </c>
      <c r="B97" s="67">
        <f>Stammdaten!B38</f>
        <v/>
      </c>
      <c r="C97" s="67">
        <f>Stammdaten!C38</f>
        <v/>
      </c>
      <c r="D97" s="124" t="inlineStr">
        <is>
          <t>Selbstkosten</t>
        </is>
      </c>
      <c r="E97" s="58" t="n">
        <v>5022.05</v>
      </c>
      <c r="F97" s="58" t="n">
        <v>4863.4</v>
      </c>
      <c r="G97" s="58" t="n">
        <v>4837.16</v>
      </c>
      <c r="H97" s="58" t="n">
        <v>4708.9</v>
      </c>
      <c r="I97" s="58" t="n">
        <v>4924.53</v>
      </c>
      <c r="J97" s="58" t="n">
        <v>4878.78</v>
      </c>
      <c r="K97" s="58" t="n">
        <v>4640.53</v>
      </c>
      <c r="L97" s="58" t="n">
        <v>4770.73</v>
      </c>
      <c r="M97" s="58" t="n">
        <v>5214</v>
      </c>
      <c r="N97" s="58" t="n">
        <v>4874.26</v>
      </c>
      <c r="O97" s="58" t="n">
        <v>4929.2</v>
      </c>
      <c r="P97" s="58" t="n">
        <v>4506.44</v>
      </c>
      <c r="Q97" s="28">
        <f>SUM(E97:P97)</f>
        <v/>
      </c>
    </row>
    <row r="98">
      <c r="A98" s="89">
        <f>Stammdaten!A38</f>
        <v/>
      </c>
      <c r="B98" s="67">
        <f>Stammdaten!B38</f>
        <v/>
      </c>
      <c r="C98" s="67">
        <f>Stammdaten!C38</f>
        <v/>
      </c>
      <c r="D98" s="125" t="inlineStr">
        <is>
          <t>DB1</t>
        </is>
      </c>
      <c r="E98" s="40">
        <f>E96-E97-Rückstellungen!D38-Rückstellungen!Q38-Rückstellungen!AD38</f>
        <v/>
      </c>
      <c r="F98" s="40">
        <f>F96-F97-Rückstellungen!E38-Rückstellungen!R38-Rückstellungen!AE38</f>
        <v/>
      </c>
      <c r="G98" s="40">
        <f>G96-G97-Rückstellungen!F38-Rückstellungen!S38-Rückstellungen!AF38</f>
        <v/>
      </c>
      <c r="H98" s="40">
        <f>H96-H97-Rückstellungen!G38-Rückstellungen!T38-Rückstellungen!AG38</f>
        <v/>
      </c>
      <c r="I98" s="40">
        <f>I96-I97-Rückstellungen!H38-Rückstellungen!U38-Rückstellungen!AH38</f>
        <v/>
      </c>
      <c r="J98" s="40">
        <f>J96-J97-Rückstellungen!I38-Rückstellungen!V38-Rückstellungen!AI38</f>
        <v/>
      </c>
      <c r="K98" s="40">
        <f>K96-K97-Rückstellungen!J38-Rückstellungen!W38-Rückstellungen!AJ38</f>
        <v/>
      </c>
      <c r="L98" s="40">
        <f>L96-L97-Rückstellungen!K38-Rückstellungen!X38-Rückstellungen!AK38</f>
        <v/>
      </c>
      <c r="M98" s="40">
        <f>M96-M97-Rückstellungen!L38-Rückstellungen!Y38-Rückstellungen!AL38</f>
        <v/>
      </c>
      <c r="N98" s="40">
        <f>N96-N97-Rückstellungen!M38-Rückstellungen!Z38-Rückstellungen!AM38</f>
        <v/>
      </c>
      <c r="O98" s="40">
        <f>O96-O97-Rückstellungen!N38-Rückstellungen!AA38-Rückstellungen!AN38</f>
        <v/>
      </c>
      <c r="P98" s="40">
        <f>P96-P97-Rückstellungen!O38-Rückstellungen!AB38-Rückstellungen!AO38</f>
        <v/>
      </c>
      <c r="Q98" s="59">
        <f>SUM(E98:P98)</f>
        <v/>
      </c>
      <c r="R98" s="126">
        <f>IFERROR(Q98/Q96,0)</f>
        <v/>
      </c>
    </row>
    <row r="99">
      <c r="A99" s="91">
        <f>Stammdaten!A39</f>
        <v/>
      </c>
      <c r="B99" s="73">
        <f>Stammdaten!B39</f>
        <v/>
      </c>
      <c r="C99" s="73">
        <f>Stammdaten!C39</f>
        <v/>
      </c>
      <c r="D99" s="127" t="inlineStr">
        <is>
          <t>Verrechnung</t>
        </is>
      </c>
      <c r="E99" s="58" t="n">
        <v>4716.69</v>
      </c>
      <c r="F99" s="58" t="n">
        <v>4582.23</v>
      </c>
      <c r="G99" s="58" t="n">
        <v>4366.51</v>
      </c>
      <c r="H99" s="58" t="n">
        <v>4568.76</v>
      </c>
      <c r="I99" s="58" t="n">
        <v>4398.07</v>
      </c>
      <c r="J99" s="58" t="n">
        <v>4694.63</v>
      </c>
      <c r="K99" s="58" t="n">
        <v>4175.29</v>
      </c>
      <c r="L99" s="58" t="n">
        <v>4361.56</v>
      </c>
      <c r="M99" s="58" t="n">
        <v>4641.48</v>
      </c>
      <c r="N99" s="58" t="n">
        <v>4414.14</v>
      </c>
      <c r="O99" s="58" t="n">
        <v>4579.43</v>
      </c>
      <c r="P99" s="58" t="n">
        <v>4352.89</v>
      </c>
      <c r="Q99" s="28">
        <f>SUM(E99:P99)</f>
        <v/>
      </c>
    </row>
    <row r="100">
      <c r="A100" s="91">
        <f>Stammdaten!A39</f>
        <v/>
      </c>
      <c r="B100" s="73">
        <f>Stammdaten!B39</f>
        <v/>
      </c>
      <c r="C100" s="73">
        <f>Stammdaten!C39</f>
        <v/>
      </c>
      <c r="D100" s="128" t="inlineStr">
        <is>
          <t>Selbstkosten</t>
        </is>
      </c>
      <c r="E100" s="58" t="n">
        <v>3403.45</v>
      </c>
      <c r="F100" s="58" t="n">
        <v>3385.97</v>
      </c>
      <c r="G100" s="58" t="n">
        <v>3232.49</v>
      </c>
      <c r="H100" s="58" t="n">
        <v>3368.13</v>
      </c>
      <c r="I100" s="58" t="n">
        <v>3252.15</v>
      </c>
      <c r="J100" s="58" t="n">
        <v>3402.68</v>
      </c>
      <c r="K100" s="58" t="n">
        <v>3138.43</v>
      </c>
      <c r="L100" s="58" t="n">
        <v>3297.32</v>
      </c>
      <c r="M100" s="58" t="n">
        <v>3346.86</v>
      </c>
      <c r="N100" s="58" t="n">
        <v>3252.23</v>
      </c>
      <c r="O100" s="58" t="n">
        <v>3247.31</v>
      </c>
      <c r="P100" s="58" t="n">
        <v>3222.61</v>
      </c>
      <c r="Q100" s="28">
        <f>SUM(E100:P100)</f>
        <v/>
      </c>
    </row>
    <row r="101">
      <c r="A101" s="129">
        <f>Stammdaten!A39</f>
        <v/>
      </c>
      <c r="B101" s="130">
        <f>Stammdaten!B39</f>
        <v/>
      </c>
      <c r="C101" s="130">
        <f>Stammdaten!C39</f>
        <v/>
      </c>
      <c r="D101" s="131" t="inlineStr">
        <is>
          <t>DB1</t>
        </is>
      </c>
      <c r="E101" s="132">
        <f>E99-E100-Rückstellungen!D39-Rückstellungen!Q39-Rückstellungen!AD39</f>
        <v/>
      </c>
      <c r="F101" s="132">
        <f>F99-F100-Rückstellungen!E39-Rückstellungen!R39-Rückstellungen!AE39</f>
        <v/>
      </c>
      <c r="G101" s="132">
        <f>G99-G100-Rückstellungen!F39-Rückstellungen!S39-Rückstellungen!AF39</f>
        <v/>
      </c>
      <c r="H101" s="132">
        <f>H99-H100-Rückstellungen!G39-Rückstellungen!T39-Rückstellungen!AG39</f>
        <v/>
      </c>
      <c r="I101" s="132">
        <f>I99-I100-Rückstellungen!H39-Rückstellungen!U39-Rückstellungen!AH39</f>
        <v/>
      </c>
      <c r="J101" s="132">
        <f>J99-J100-Rückstellungen!I39-Rückstellungen!V39-Rückstellungen!AI39</f>
        <v/>
      </c>
      <c r="K101" s="132">
        <f>K99-K100-Rückstellungen!J39-Rückstellungen!W39-Rückstellungen!AJ39</f>
        <v/>
      </c>
      <c r="L101" s="132">
        <f>L99-L100-Rückstellungen!K39-Rückstellungen!X39-Rückstellungen!AK39</f>
        <v/>
      </c>
      <c r="M101" s="132">
        <f>M99-M100-Rückstellungen!L39-Rückstellungen!Y39-Rückstellungen!AL39</f>
        <v/>
      </c>
      <c r="N101" s="132">
        <f>N99-N100-Rückstellungen!M39-Rückstellungen!Z39-Rückstellungen!AM39</f>
        <v/>
      </c>
      <c r="O101" s="132">
        <f>O99-O100-Rückstellungen!N39-Rückstellungen!AA39-Rückstellungen!AN39</f>
        <v/>
      </c>
      <c r="P101" s="132">
        <f>P99-P100-Rückstellungen!O39-Rückstellungen!AB39-Rückstellungen!AO39</f>
        <v/>
      </c>
      <c r="Q101" s="133">
        <f>SUM(E101:P101)</f>
        <v/>
      </c>
      <c r="R101" s="134">
        <f>IFERROR(Q101/Q99,0)</f>
        <v/>
      </c>
    </row>
    <row r="102">
      <c r="A102" s="91">
        <f>Stammdaten!A40</f>
        <v/>
      </c>
      <c r="B102" s="73">
        <f>Stammdaten!B40</f>
        <v/>
      </c>
      <c r="C102" s="73">
        <f>Stammdaten!C40</f>
        <v/>
      </c>
      <c r="D102" s="127" t="inlineStr">
        <is>
          <t>Verrechnung</t>
        </is>
      </c>
      <c r="E102" s="58" t="n">
        <v>4550.94</v>
      </c>
      <c r="F102" s="58" t="n">
        <v>4667.06</v>
      </c>
      <c r="G102" s="58" t="n">
        <v>4554.85</v>
      </c>
      <c r="H102" s="58" t="n">
        <v>4523.85</v>
      </c>
      <c r="I102" s="58" t="n">
        <v>4738.11</v>
      </c>
      <c r="J102" s="58" t="n">
        <v>4790.11</v>
      </c>
      <c r="K102" s="58" t="n">
        <v>4216.89</v>
      </c>
      <c r="L102" s="58" t="n">
        <v>4427.68</v>
      </c>
      <c r="M102" s="58" t="n">
        <v>4434.39</v>
      </c>
      <c r="N102" s="58" t="n">
        <v>4441.93</v>
      </c>
      <c r="O102" s="58" t="n">
        <v>4772.59</v>
      </c>
      <c r="P102" s="58" t="n">
        <v>4302.57</v>
      </c>
      <c r="Q102" s="28">
        <f>SUM(E102:P102)</f>
        <v/>
      </c>
    </row>
    <row r="103">
      <c r="A103" s="91">
        <f>Stammdaten!A40</f>
        <v/>
      </c>
      <c r="B103" s="73">
        <f>Stammdaten!B40</f>
        <v/>
      </c>
      <c r="C103" s="73">
        <f>Stammdaten!C40</f>
        <v/>
      </c>
      <c r="D103" s="128" t="inlineStr">
        <is>
          <t>Selbstkosten</t>
        </is>
      </c>
      <c r="E103" s="58" t="n">
        <v>2529.98</v>
      </c>
      <c r="F103" s="58" t="n">
        <v>2540.97</v>
      </c>
      <c r="G103" s="58" t="n">
        <v>2534.09</v>
      </c>
      <c r="H103" s="58" t="n">
        <v>2460.47</v>
      </c>
      <c r="I103" s="58" t="n">
        <v>2609.33</v>
      </c>
      <c r="J103" s="58" t="n">
        <v>2642.82</v>
      </c>
      <c r="K103" s="58" t="n">
        <v>2354.34</v>
      </c>
      <c r="L103" s="58" t="n">
        <v>2425.03</v>
      </c>
      <c r="M103" s="58" t="n">
        <v>2464.51</v>
      </c>
      <c r="N103" s="58" t="n">
        <v>2399.86</v>
      </c>
      <c r="O103" s="58" t="n">
        <v>2729.33</v>
      </c>
      <c r="P103" s="58" t="n">
        <v>2466.92</v>
      </c>
      <c r="Q103" s="28">
        <f>SUM(E103:P103)</f>
        <v/>
      </c>
    </row>
    <row r="104">
      <c r="A104" s="91">
        <f>Stammdaten!A40</f>
        <v/>
      </c>
      <c r="B104" s="73">
        <f>Stammdaten!B40</f>
        <v/>
      </c>
      <c r="C104" s="73">
        <f>Stammdaten!C40</f>
        <v/>
      </c>
      <c r="D104" s="135" t="inlineStr">
        <is>
          <t>DB1</t>
        </is>
      </c>
      <c r="E104" s="40">
        <f>E102-E103-Rückstellungen!D40-Rückstellungen!Q40-Rückstellungen!AD40</f>
        <v/>
      </c>
      <c r="F104" s="40">
        <f>F102-F103-Rückstellungen!E40-Rückstellungen!R40-Rückstellungen!AE40</f>
        <v/>
      </c>
      <c r="G104" s="40">
        <f>G102-G103-Rückstellungen!F40-Rückstellungen!S40-Rückstellungen!AF40</f>
        <v/>
      </c>
      <c r="H104" s="40">
        <f>H102-H103-Rückstellungen!G40-Rückstellungen!T40-Rückstellungen!AG40</f>
        <v/>
      </c>
      <c r="I104" s="40">
        <f>I102-I103-Rückstellungen!H40-Rückstellungen!U40-Rückstellungen!AH40</f>
        <v/>
      </c>
      <c r="J104" s="40">
        <f>J102-J103-Rückstellungen!I40-Rückstellungen!V40-Rückstellungen!AI40</f>
        <v/>
      </c>
      <c r="K104" s="40">
        <f>K102-K103-Rückstellungen!J40-Rückstellungen!W40-Rückstellungen!AJ40</f>
        <v/>
      </c>
      <c r="L104" s="40">
        <f>L102-L103-Rückstellungen!K40-Rückstellungen!X40-Rückstellungen!AK40</f>
        <v/>
      </c>
      <c r="M104" s="40">
        <f>M102-M103-Rückstellungen!L40-Rückstellungen!Y40-Rückstellungen!AL40</f>
        <v/>
      </c>
      <c r="N104" s="40">
        <f>N102-N103-Rückstellungen!M40-Rückstellungen!Z40-Rückstellungen!AM40</f>
        <v/>
      </c>
      <c r="O104" s="40">
        <f>O102-O103-Rückstellungen!N40-Rückstellungen!AA40-Rückstellungen!AN40</f>
        <v/>
      </c>
      <c r="P104" s="40">
        <f>P102-P103-Rückstellungen!O40-Rückstellungen!AB40-Rückstellungen!AO40</f>
        <v/>
      </c>
      <c r="Q104" s="59">
        <f>SUM(E104:P104)</f>
        <v/>
      </c>
      <c r="R104" s="126">
        <f>IFERROR(Q104/Q102,0)</f>
        <v/>
      </c>
    </row>
    <row r="105">
      <c r="A105" s="91">
        <f>Stammdaten!A41</f>
        <v/>
      </c>
      <c r="B105" s="73">
        <f>Stammdaten!B41</f>
        <v/>
      </c>
      <c r="C105" s="73">
        <f>Stammdaten!C41</f>
        <v/>
      </c>
      <c r="D105" s="127" t="inlineStr">
        <is>
          <t>Verrechnung</t>
        </is>
      </c>
      <c r="E105" s="58" t="n">
        <v>6060.98</v>
      </c>
      <c r="F105" s="58" t="n">
        <v>6511.04</v>
      </c>
      <c r="G105" s="58" t="n">
        <v>6445.78</v>
      </c>
      <c r="H105" s="58" t="n">
        <v>6005.28</v>
      </c>
      <c r="I105" s="58" t="n">
        <v>6210.27</v>
      </c>
      <c r="J105" s="58" t="n">
        <v>6280.67</v>
      </c>
      <c r="K105" s="58" t="n">
        <v>5557.62</v>
      </c>
      <c r="L105" s="58" t="n">
        <v>6330.46</v>
      </c>
      <c r="M105" s="58" t="n">
        <v>5959.57</v>
      </c>
      <c r="N105" s="58" t="n">
        <v>6029.78</v>
      </c>
      <c r="O105" s="58" t="n">
        <v>6159.21</v>
      </c>
      <c r="P105" s="58" t="n">
        <v>5118.51</v>
      </c>
      <c r="Q105" s="28">
        <f>SUM(E105:P105)</f>
        <v/>
      </c>
    </row>
    <row r="106">
      <c r="A106" s="91">
        <f>Stammdaten!A41</f>
        <v/>
      </c>
      <c r="B106" s="73">
        <f>Stammdaten!B41</f>
        <v/>
      </c>
      <c r="C106" s="73">
        <f>Stammdaten!C41</f>
        <v/>
      </c>
      <c r="D106" s="128" t="inlineStr">
        <is>
          <t>Selbstkosten</t>
        </is>
      </c>
      <c r="E106" s="58" t="n">
        <v>3233.53</v>
      </c>
      <c r="F106" s="58" t="n">
        <v>3549.83</v>
      </c>
      <c r="G106" s="58" t="n">
        <v>3521.75</v>
      </c>
      <c r="H106" s="58" t="n">
        <v>3257.27</v>
      </c>
      <c r="I106" s="58" t="n">
        <v>3332.41</v>
      </c>
      <c r="J106" s="58" t="n">
        <v>3324.28</v>
      </c>
      <c r="K106" s="58" t="n">
        <v>3109.57</v>
      </c>
      <c r="L106" s="58" t="n">
        <v>3407.75</v>
      </c>
      <c r="M106" s="58" t="n">
        <v>3167.67</v>
      </c>
      <c r="N106" s="58" t="n">
        <v>3241.01</v>
      </c>
      <c r="O106" s="58" t="n">
        <v>3343.12</v>
      </c>
      <c r="P106" s="58" t="n">
        <v>2809.13</v>
      </c>
      <c r="Q106" s="28">
        <f>SUM(E106:P106)</f>
        <v/>
      </c>
    </row>
    <row r="107">
      <c r="A107" s="91">
        <f>Stammdaten!A41</f>
        <v/>
      </c>
      <c r="B107" s="73">
        <f>Stammdaten!B41</f>
        <v/>
      </c>
      <c r="C107" s="73">
        <f>Stammdaten!C41</f>
        <v/>
      </c>
      <c r="D107" s="135" t="inlineStr">
        <is>
          <t>DB1</t>
        </is>
      </c>
      <c r="E107" s="40">
        <f>E105-E106-Rückstellungen!D41-Rückstellungen!Q41-Rückstellungen!AD41</f>
        <v/>
      </c>
      <c r="F107" s="40">
        <f>F105-F106-Rückstellungen!E41-Rückstellungen!R41-Rückstellungen!AE41</f>
        <v/>
      </c>
      <c r="G107" s="40">
        <f>G105-G106-Rückstellungen!F41-Rückstellungen!S41-Rückstellungen!AF41</f>
        <v/>
      </c>
      <c r="H107" s="40">
        <f>H105-H106-Rückstellungen!G41-Rückstellungen!T41-Rückstellungen!AG41</f>
        <v/>
      </c>
      <c r="I107" s="40">
        <f>I105-I106-Rückstellungen!H41-Rückstellungen!U41-Rückstellungen!AH41</f>
        <v/>
      </c>
      <c r="J107" s="40">
        <f>J105-J106-Rückstellungen!I41-Rückstellungen!V41-Rückstellungen!AI41</f>
        <v/>
      </c>
      <c r="K107" s="40">
        <f>K105-K106-Rückstellungen!J41-Rückstellungen!W41-Rückstellungen!AJ41</f>
        <v/>
      </c>
      <c r="L107" s="40">
        <f>L105-L106-Rückstellungen!K41-Rückstellungen!X41-Rückstellungen!AK41</f>
        <v/>
      </c>
      <c r="M107" s="40">
        <f>M105-M106-Rückstellungen!L41-Rückstellungen!Y41-Rückstellungen!AL41</f>
        <v/>
      </c>
      <c r="N107" s="40">
        <f>N105-N106-Rückstellungen!M41-Rückstellungen!Z41-Rückstellungen!AM41</f>
        <v/>
      </c>
      <c r="O107" s="40">
        <f>O105-O106-Rückstellungen!N41-Rückstellungen!AA41-Rückstellungen!AN41</f>
        <v/>
      </c>
      <c r="P107" s="40">
        <f>P105-P106-Rückstellungen!O41-Rückstellungen!AB41-Rückstellungen!AO41</f>
        <v/>
      </c>
      <c r="Q107" s="59">
        <f>SUM(E107:P107)</f>
        <v/>
      </c>
      <c r="R107" s="126">
        <f>IFERROR(Q107/Q105,0)</f>
        <v/>
      </c>
    </row>
    <row r="108">
      <c r="A108" s="91">
        <f>Stammdaten!A42</f>
        <v/>
      </c>
      <c r="B108" s="73">
        <f>Stammdaten!B42</f>
        <v/>
      </c>
      <c r="C108" s="73">
        <f>Stammdaten!C42</f>
        <v/>
      </c>
      <c r="D108" s="127" t="inlineStr">
        <is>
          <t>Verrechnung</t>
        </is>
      </c>
      <c r="E108" s="58" t="n">
        <v>4762.61</v>
      </c>
      <c r="F108" s="58" t="n">
        <v>4923.24</v>
      </c>
      <c r="G108" s="58" t="n">
        <v>4831.45</v>
      </c>
      <c r="H108" s="58" t="n">
        <v>4611.09</v>
      </c>
      <c r="I108" s="58" t="n">
        <v>4992.42</v>
      </c>
      <c r="J108" s="58" t="n">
        <v>4726.3</v>
      </c>
      <c r="K108" s="58" t="n">
        <v>4373.18</v>
      </c>
      <c r="L108" s="58" t="n">
        <v>4586.34</v>
      </c>
      <c r="M108" s="58" t="n">
        <v>4914.1</v>
      </c>
      <c r="N108" s="58" t="n">
        <v>4633.48</v>
      </c>
      <c r="O108" s="58" t="n">
        <v>4629.56</v>
      </c>
      <c r="P108" s="58" t="n">
        <v>4208.42</v>
      </c>
      <c r="Q108" s="28">
        <f>SUM(E108:P108)</f>
        <v/>
      </c>
    </row>
    <row r="109">
      <c r="A109" s="91">
        <f>Stammdaten!A42</f>
        <v/>
      </c>
      <c r="B109" s="73">
        <f>Stammdaten!B42</f>
        <v/>
      </c>
      <c r="C109" s="73">
        <f>Stammdaten!C42</f>
        <v/>
      </c>
      <c r="D109" s="128" t="inlineStr">
        <is>
          <t>Selbstkosten</t>
        </is>
      </c>
      <c r="E109" s="58" t="n">
        <v>2402.6</v>
      </c>
      <c r="F109" s="58" t="n">
        <v>2496.29</v>
      </c>
      <c r="G109" s="58" t="n">
        <v>2366.08</v>
      </c>
      <c r="H109" s="58" t="n">
        <v>2297.64</v>
      </c>
      <c r="I109" s="58" t="n">
        <v>2519.93</v>
      </c>
      <c r="J109" s="58" t="n">
        <v>2317.16</v>
      </c>
      <c r="K109" s="58" t="n">
        <v>2128.11</v>
      </c>
      <c r="L109" s="58" t="n">
        <v>2339.98</v>
      </c>
      <c r="M109" s="58" t="n">
        <v>2473.77</v>
      </c>
      <c r="N109" s="58" t="n">
        <v>2393.16</v>
      </c>
      <c r="O109" s="58" t="n">
        <v>2397.33</v>
      </c>
      <c r="P109" s="58" t="n">
        <v>2132.85</v>
      </c>
      <c r="Q109" s="28">
        <f>SUM(E109:P109)</f>
        <v/>
      </c>
    </row>
    <row r="110">
      <c r="A110" s="91">
        <f>Stammdaten!A42</f>
        <v/>
      </c>
      <c r="B110" s="73">
        <f>Stammdaten!B42</f>
        <v/>
      </c>
      <c r="C110" s="73">
        <f>Stammdaten!C42</f>
        <v/>
      </c>
      <c r="D110" s="135" t="inlineStr">
        <is>
          <t>DB1</t>
        </is>
      </c>
      <c r="E110" s="40">
        <f>E108-E109-Rückstellungen!D42-Rückstellungen!Q42-Rückstellungen!AD42</f>
        <v/>
      </c>
      <c r="F110" s="40">
        <f>F108-F109-Rückstellungen!E42-Rückstellungen!R42-Rückstellungen!AE42</f>
        <v/>
      </c>
      <c r="G110" s="40">
        <f>G108-G109-Rückstellungen!F42-Rückstellungen!S42-Rückstellungen!AF42</f>
        <v/>
      </c>
      <c r="H110" s="40">
        <f>H108-H109-Rückstellungen!G42-Rückstellungen!T42-Rückstellungen!AG42</f>
        <v/>
      </c>
      <c r="I110" s="40">
        <f>I108-I109-Rückstellungen!H42-Rückstellungen!U42-Rückstellungen!AH42</f>
        <v/>
      </c>
      <c r="J110" s="40">
        <f>J108-J109-Rückstellungen!I42-Rückstellungen!V42-Rückstellungen!AI42</f>
        <v/>
      </c>
      <c r="K110" s="40">
        <f>K108-K109-Rückstellungen!J42-Rückstellungen!W42-Rückstellungen!AJ42</f>
        <v/>
      </c>
      <c r="L110" s="40">
        <f>L108-L109-Rückstellungen!K42-Rückstellungen!X42-Rückstellungen!AK42</f>
        <v/>
      </c>
      <c r="M110" s="40">
        <f>M108-M109-Rückstellungen!L42-Rückstellungen!Y42-Rückstellungen!AL42</f>
        <v/>
      </c>
      <c r="N110" s="40">
        <f>N108-N109-Rückstellungen!M42-Rückstellungen!Z42-Rückstellungen!AM42</f>
        <v/>
      </c>
      <c r="O110" s="40">
        <f>O108-O109-Rückstellungen!N42-Rückstellungen!AA42-Rückstellungen!AN42</f>
        <v/>
      </c>
      <c r="P110" s="40">
        <f>P108-P109-Rückstellungen!O42-Rückstellungen!AB42-Rückstellungen!AO42</f>
        <v/>
      </c>
      <c r="Q110" s="59">
        <f>SUM(E110:P110)</f>
        <v/>
      </c>
      <c r="R110" s="126">
        <f>IFERROR(Q110/Q108,0)</f>
        <v/>
      </c>
    </row>
    <row r="111">
      <c r="A111" s="91">
        <f>Stammdaten!A43</f>
        <v/>
      </c>
      <c r="B111" s="73">
        <f>Stammdaten!B43</f>
        <v/>
      </c>
      <c r="C111" s="73">
        <f>Stammdaten!C43</f>
        <v/>
      </c>
      <c r="D111" s="127" t="inlineStr">
        <is>
          <t>Verrechnung</t>
        </is>
      </c>
      <c r="E111" s="58" t="n">
        <v>6333.31</v>
      </c>
      <c r="F111" s="58" t="n">
        <v>6363.47</v>
      </c>
      <c r="G111" s="58" t="n">
        <v>6053.9</v>
      </c>
      <c r="H111" s="58" t="n">
        <v>6106.58</v>
      </c>
      <c r="I111" s="58" t="n">
        <v>6218.82</v>
      </c>
      <c r="J111" s="58" t="n">
        <v>6538.66</v>
      </c>
      <c r="K111" s="58" t="n">
        <v>5709.44</v>
      </c>
      <c r="L111" s="58" t="n">
        <v>6595.31</v>
      </c>
      <c r="M111" s="58" t="n">
        <v>6173.41</v>
      </c>
      <c r="N111" s="58" t="n">
        <v>6316.73</v>
      </c>
      <c r="O111" s="58" t="n">
        <v>6453.15</v>
      </c>
      <c r="P111" s="58" t="n">
        <v>5830.58</v>
      </c>
      <c r="Q111" s="28">
        <f>SUM(E111:P111)</f>
        <v/>
      </c>
    </row>
    <row r="112">
      <c r="A112" s="91">
        <f>Stammdaten!A43</f>
        <v/>
      </c>
      <c r="B112" s="73">
        <f>Stammdaten!B43</f>
        <v/>
      </c>
      <c r="C112" s="73">
        <f>Stammdaten!C43</f>
        <v/>
      </c>
      <c r="D112" s="128" t="inlineStr">
        <is>
          <t>Selbstkosten</t>
        </is>
      </c>
      <c r="E112" s="58" t="n">
        <v>3281.69</v>
      </c>
      <c r="F112" s="58" t="n">
        <v>3293.88</v>
      </c>
      <c r="G112" s="58" t="n">
        <v>3102.23</v>
      </c>
      <c r="H112" s="58" t="n">
        <v>3148.04</v>
      </c>
      <c r="I112" s="58" t="n">
        <v>3314.22</v>
      </c>
      <c r="J112" s="58" t="n">
        <v>3421.02</v>
      </c>
      <c r="K112" s="58" t="n">
        <v>2992.6</v>
      </c>
      <c r="L112" s="58" t="n">
        <v>3438.56</v>
      </c>
      <c r="M112" s="58" t="n">
        <v>3101.07</v>
      </c>
      <c r="N112" s="58" t="n">
        <v>3280.95</v>
      </c>
      <c r="O112" s="58" t="n">
        <v>3410.16</v>
      </c>
      <c r="P112" s="58" t="n">
        <v>2969.05</v>
      </c>
      <c r="Q112" s="28">
        <f>SUM(E112:P112)</f>
        <v/>
      </c>
    </row>
    <row r="113">
      <c r="A113" s="91">
        <f>Stammdaten!A43</f>
        <v/>
      </c>
      <c r="B113" s="73">
        <f>Stammdaten!B43</f>
        <v/>
      </c>
      <c r="C113" s="73">
        <f>Stammdaten!C43</f>
        <v/>
      </c>
      <c r="D113" s="135" t="inlineStr">
        <is>
          <t>DB1</t>
        </is>
      </c>
      <c r="E113" s="40">
        <f>E111-E112-Rückstellungen!D43-Rückstellungen!Q43-Rückstellungen!AD43</f>
        <v/>
      </c>
      <c r="F113" s="40">
        <f>F111-F112-Rückstellungen!E43-Rückstellungen!R43-Rückstellungen!AE43</f>
        <v/>
      </c>
      <c r="G113" s="40">
        <f>G111-G112-Rückstellungen!F43-Rückstellungen!S43-Rückstellungen!AF43</f>
        <v/>
      </c>
      <c r="H113" s="40">
        <f>H111-H112-Rückstellungen!G43-Rückstellungen!T43-Rückstellungen!AG43</f>
        <v/>
      </c>
      <c r="I113" s="40">
        <f>I111-I112-Rückstellungen!H43-Rückstellungen!U43-Rückstellungen!AH43</f>
        <v/>
      </c>
      <c r="J113" s="40">
        <f>J111-J112-Rückstellungen!I43-Rückstellungen!V43-Rückstellungen!AI43</f>
        <v/>
      </c>
      <c r="K113" s="40">
        <f>K111-K112-Rückstellungen!J43-Rückstellungen!W43-Rückstellungen!AJ43</f>
        <v/>
      </c>
      <c r="L113" s="40">
        <f>L111-L112-Rückstellungen!K43-Rückstellungen!X43-Rückstellungen!AK43</f>
        <v/>
      </c>
      <c r="M113" s="40">
        <f>M111-M112-Rückstellungen!L43-Rückstellungen!Y43-Rückstellungen!AL43</f>
        <v/>
      </c>
      <c r="N113" s="40">
        <f>N111-N112-Rückstellungen!M43-Rückstellungen!Z43-Rückstellungen!AM43</f>
        <v/>
      </c>
      <c r="O113" s="40">
        <f>O111-O112-Rückstellungen!N43-Rückstellungen!AA43-Rückstellungen!AN43</f>
        <v/>
      </c>
      <c r="P113" s="40">
        <f>P111-P112-Rückstellungen!O43-Rückstellungen!AB43-Rückstellungen!AO43</f>
        <v/>
      </c>
      <c r="Q113" s="59">
        <f>SUM(E113:P113)</f>
        <v/>
      </c>
      <c r="R113" s="126">
        <f>IFERROR(Q113/Q111,0)</f>
        <v/>
      </c>
    </row>
    <row r="114">
      <c r="A114" s="91">
        <f>Stammdaten!A44</f>
        <v/>
      </c>
      <c r="B114" s="73">
        <f>Stammdaten!B44</f>
        <v/>
      </c>
      <c r="C114" s="73">
        <f>Stammdaten!C44</f>
        <v/>
      </c>
      <c r="D114" s="127" t="inlineStr">
        <is>
          <t>Verrechnung</t>
        </is>
      </c>
      <c r="E114" s="58" t="n">
        <v>5430.56</v>
      </c>
      <c r="F114" s="58" t="n">
        <v>5416.83</v>
      </c>
      <c r="G114" s="58" t="n">
        <v>5460.28</v>
      </c>
      <c r="H114" s="58" t="n">
        <v>5445.5</v>
      </c>
      <c r="I114" s="58" t="n">
        <v>5570.56</v>
      </c>
      <c r="J114" s="58" t="n">
        <v>5468.52</v>
      </c>
      <c r="K114" s="58" t="n">
        <v>5284.12</v>
      </c>
      <c r="L114" s="58" t="n">
        <v>5682.66</v>
      </c>
      <c r="M114" s="58" t="n">
        <v>5475.58</v>
      </c>
      <c r="N114" s="58" t="n">
        <v>5545.37</v>
      </c>
      <c r="O114" s="58" t="n">
        <v>5547.75</v>
      </c>
      <c r="P114" s="58" t="n">
        <v>4806.85</v>
      </c>
      <c r="Q114" s="28">
        <f>SUM(E114:P114)</f>
        <v/>
      </c>
    </row>
    <row r="115">
      <c r="A115" s="91">
        <f>Stammdaten!A44</f>
        <v/>
      </c>
      <c r="B115" s="73">
        <f>Stammdaten!B44</f>
        <v/>
      </c>
      <c r="C115" s="73">
        <f>Stammdaten!C44</f>
        <v/>
      </c>
      <c r="D115" s="128" t="inlineStr">
        <is>
          <t>Selbstkosten</t>
        </is>
      </c>
      <c r="E115" s="58" t="n">
        <v>2576.67</v>
      </c>
      <c r="F115" s="58" t="n">
        <v>2531.47</v>
      </c>
      <c r="G115" s="58" t="n">
        <v>2625.74</v>
      </c>
      <c r="H115" s="58" t="n">
        <v>2661.52</v>
      </c>
      <c r="I115" s="58" t="n">
        <v>2696.24</v>
      </c>
      <c r="J115" s="58" t="n">
        <v>2620.51</v>
      </c>
      <c r="K115" s="58" t="n">
        <v>2499.82</v>
      </c>
      <c r="L115" s="58" t="n">
        <v>2704.01</v>
      </c>
      <c r="M115" s="58" t="n">
        <v>2621.24</v>
      </c>
      <c r="N115" s="58" t="n">
        <v>2713.88</v>
      </c>
      <c r="O115" s="58" t="n">
        <v>2703.24</v>
      </c>
      <c r="P115" s="58" t="n">
        <v>2366.78</v>
      </c>
      <c r="Q115" s="28">
        <f>SUM(E115:P115)</f>
        <v/>
      </c>
    </row>
    <row r="116">
      <c r="A116" s="91">
        <f>Stammdaten!A44</f>
        <v/>
      </c>
      <c r="B116" s="73">
        <f>Stammdaten!B44</f>
        <v/>
      </c>
      <c r="C116" s="73">
        <f>Stammdaten!C44</f>
        <v/>
      </c>
      <c r="D116" s="135" t="inlineStr">
        <is>
          <t>DB1</t>
        </is>
      </c>
      <c r="E116" s="40">
        <f>E114-E115-Rückstellungen!D44-Rückstellungen!Q44-Rückstellungen!AD44</f>
        <v/>
      </c>
      <c r="F116" s="40">
        <f>F114-F115-Rückstellungen!E44-Rückstellungen!R44-Rückstellungen!AE44</f>
        <v/>
      </c>
      <c r="G116" s="40">
        <f>G114-G115-Rückstellungen!F44-Rückstellungen!S44-Rückstellungen!AF44</f>
        <v/>
      </c>
      <c r="H116" s="40">
        <f>H114-H115-Rückstellungen!G44-Rückstellungen!T44-Rückstellungen!AG44</f>
        <v/>
      </c>
      <c r="I116" s="40">
        <f>I114-I115-Rückstellungen!H44-Rückstellungen!U44-Rückstellungen!AH44</f>
        <v/>
      </c>
      <c r="J116" s="40">
        <f>J114-J115-Rückstellungen!I44-Rückstellungen!V44-Rückstellungen!AI44</f>
        <v/>
      </c>
      <c r="K116" s="40">
        <f>K114-K115-Rückstellungen!J44-Rückstellungen!W44-Rückstellungen!AJ44</f>
        <v/>
      </c>
      <c r="L116" s="40">
        <f>L114-L115-Rückstellungen!K44-Rückstellungen!X44-Rückstellungen!AK44</f>
        <v/>
      </c>
      <c r="M116" s="40">
        <f>M114-M115-Rückstellungen!L44-Rückstellungen!Y44-Rückstellungen!AL44</f>
        <v/>
      </c>
      <c r="N116" s="40">
        <f>N114-N115-Rückstellungen!M44-Rückstellungen!Z44-Rückstellungen!AM44</f>
        <v/>
      </c>
      <c r="O116" s="40">
        <f>O114-O115-Rückstellungen!N44-Rückstellungen!AA44-Rückstellungen!AN44</f>
        <v/>
      </c>
      <c r="P116" s="40">
        <f>P114-P115-Rückstellungen!O44-Rückstellungen!AB44-Rückstellungen!AO44</f>
        <v/>
      </c>
      <c r="Q116" s="59">
        <f>SUM(E116:P116)</f>
        <v/>
      </c>
      <c r="R116" s="126">
        <f>IFERROR(Q116/Q114,0)</f>
        <v/>
      </c>
    </row>
    <row r="117">
      <c r="A117" s="91">
        <f>Stammdaten!A45</f>
        <v/>
      </c>
      <c r="B117" s="73">
        <f>Stammdaten!B45</f>
        <v/>
      </c>
      <c r="C117" s="73">
        <f>Stammdaten!C45</f>
        <v/>
      </c>
      <c r="D117" s="127" t="inlineStr">
        <is>
          <t>Verrechnung</t>
        </is>
      </c>
      <c r="E117" s="58" t="n">
        <v>4710.29</v>
      </c>
      <c r="F117" s="58" t="n">
        <v>4598.14</v>
      </c>
      <c r="G117" s="58" t="n">
        <v>4510.84</v>
      </c>
      <c r="H117" s="58" t="n">
        <v>4539.74</v>
      </c>
      <c r="I117" s="58" t="n">
        <v>4604.92</v>
      </c>
      <c r="J117" s="58" t="n">
        <v>4545</v>
      </c>
      <c r="K117" s="58" t="n">
        <v>4282.51</v>
      </c>
      <c r="L117" s="58" t="n">
        <v>4625.7</v>
      </c>
      <c r="M117" s="58" t="n">
        <v>4330.12</v>
      </c>
      <c r="N117" s="58" t="n">
        <v>4345.06</v>
      </c>
      <c r="O117" s="58" t="n">
        <v>4578.35</v>
      </c>
      <c r="P117" s="58" t="n">
        <v>4070.06</v>
      </c>
      <c r="Q117" s="28">
        <f>SUM(E117:P117)</f>
        <v/>
      </c>
    </row>
    <row r="118">
      <c r="A118" s="91">
        <f>Stammdaten!A45</f>
        <v/>
      </c>
      <c r="B118" s="73">
        <f>Stammdaten!B45</f>
        <v/>
      </c>
      <c r="C118" s="73">
        <f>Stammdaten!C45</f>
        <v/>
      </c>
      <c r="D118" s="128" t="inlineStr">
        <is>
          <t>Selbstkosten</t>
        </is>
      </c>
      <c r="E118" s="58" t="n">
        <v>2760.8</v>
      </c>
      <c r="F118" s="58" t="n">
        <v>2680.15</v>
      </c>
      <c r="G118" s="58" t="n">
        <v>2591.23</v>
      </c>
      <c r="H118" s="58" t="n">
        <v>2690.54</v>
      </c>
      <c r="I118" s="58" t="n">
        <v>2609.85</v>
      </c>
      <c r="J118" s="58" t="n">
        <v>2622.4</v>
      </c>
      <c r="K118" s="58" t="n">
        <v>2436.96</v>
      </c>
      <c r="L118" s="58" t="n">
        <v>2595.43</v>
      </c>
      <c r="M118" s="58" t="n">
        <v>2569.92</v>
      </c>
      <c r="N118" s="58" t="n">
        <v>2573.34</v>
      </c>
      <c r="O118" s="58" t="n">
        <v>2679.09</v>
      </c>
      <c r="P118" s="58" t="n">
        <v>2304</v>
      </c>
      <c r="Q118" s="28">
        <f>SUM(E118:P118)</f>
        <v/>
      </c>
    </row>
    <row r="119">
      <c r="A119" s="91">
        <f>Stammdaten!A45</f>
        <v/>
      </c>
      <c r="B119" s="73">
        <f>Stammdaten!B45</f>
        <v/>
      </c>
      <c r="C119" s="73">
        <f>Stammdaten!C45</f>
        <v/>
      </c>
      <c r="D119" s="135" t="inlineStr">
        <is>
          <t>DB1</t>
        </is>
      </c>
      <c r="E119" s="40">
        <f>E117-E118-Rückstellungen!D45-Rückstellungen!Q45-Rückstellungen!AD45</f>
        <v/>
      </c>
      <c r="F119" s="40">
        <f>F117-F118-Rückstellungen!E45-Rückstellungen!R45-Rückstellungen!AE45</f>
        <v/>
      </c>
      <c r="G119" s="40">
        <f>G117-G118-Rückstellungen!F45-Rückstellungen!S45-Rückstellungen!AF45</f>
        <v/>
      </c>
      <c r="H119" s="40">
        <f>H117-H118-Rückstellungen!G45-Rückstellungen!T45-Rückstellungen!AG45</f>
        <v/>
      </c>
      <c r="I119" s="40">
        <f>I117-I118-Rückstellungen!H45-Rückstellungen!U45-Rückstellungen!AH45</f>
        <v/>
      </c>
      <c r="J119" s="40">
        <f>J117-J118-Rückstellungen!I45-Rückstellungen!V45-Rückstellungen!AI45</f>
        <v/>
      </c>
      <c r="K119" s="40">
        <f>K117-K118-Rückstellungen!J45-Rückstellungen!W45-Rückstellungen!AJ45</f>
        <v/>
      </c>
      <c r="L119" s="40">
        <f>L117-L118-Rückstellungen!K45-Rückstellungen!X45-Rückstellungen!AK45</f>
        <v/>
      </c>
      <c r="M119" s="40">
        <f>M117-M118-Rückstellungen!L45-Rückstellungen!Y45-Rückstellungen!AL45</f>
        <v/>
      </c>
      <c r="N119" s="40">
        <f>N117-N118-Rückstellungen!M45-Rückstellungen!Z45-Rückstellungen!AM45</f>
        <v/>
      </c>
      <c r="O119" s="40">
        <f>O117-O118-Rückstellungen!N45-Rückstellungen!AA45-Rückstellungen!AN45</f>
        <v/>
      </c>
      <c r="P119" s="40">
        <f>P117-P118-Rückstellungen!O45-Rückstellungen!AB45-Rückstellungen!AO45</f>
        <v/>
      </c>
      <c r="Q119" s="59">
        <f>SUM(E119:P119)</f>
        <v/>
      </c>
      <c r="R119" s="126">
        <f>IFERROR(Q119/Q117,0)</f>
        <v/>
      </c>
    </row>
    <row r="120">
      <c r="A120" s="91">
        <f>Stammdaten!A46</f>
        <v/>
      </c>
      <c r="B120" s="73">
        <f>Stammdaten!B46</f>
        <v/>
      </c>
      <c r="C120" s="73">
        <f>Stammdaten!C46</f>
        <v/>
      </c>
      <c r="D120" s="127" t="inlineStr">
        <is>
          <t>Verrechnung</t>
        </is>
      </c>
      <c r="E120" s="58" t="n">
        <v>5542.49</v>
      </c>
      <c r="F120" s="58" t="n">
        <v>5207.18</v>
      </c>
      <c r="G120" s="58" t="n">
        <v>5292.16</v>
      </c>
      <c r="H120" s="58" t="n">
        <v>5231.2</v>
      </c>
      <c r="I120" s="58" t="n">
        <v>5412.04</v>
      </c>
      <c r="J120" s="58" t="n">
        <v>5249.31</v>
      </c>
      <c r="K120" s="58" t="n">
        <v>5087.54</v>
      </c>
      <c r="L120" s="58" t="n">
        <v>5610.39</v>
      </c>
      <c r="M120" s="58" t="n">
        <v>5498.59</v>
      </c>
      <c r="N120" s="58" t="n">
        <v>5322.08</v>
      </c>
      <c r="O120" s="58" t="n">
        <v>5211.26</v>
      </c>
      <c r="P120" s="58" t="n">
        <v>4915.54</v>
      </c>
      <c r="Q120" s="28">
        <f>SUM(E120:P120)</f>
        <v/>
      </c>
    </row>
    <row r="121">
      <c r="A121" s="91">
        <f>Stammdaten!A46</f>
        <v/>
      </c>
      <c r="B121" s="73">
        <f>Stammdaten!B46</f>
        <v/>
      </c>
      <c r="C121" s="73">
        <f>Stammdaten!C46</f>
        <v/>
      </c>
      <c r="D121" s="128" t="inlineStr">
        <is>
          <t>Selbstkosten</t>
        </is>
      </c>
      <c r="E121" s="58" t="n">
        <v>2538.73</v>
      </c>
      <c r="F121" s="58" t="n">
        <v>2497.82</v>
      </c>
      <c r="G121" s="58" t="n">
        <v>2422.96</v>
      </c>
      <c r="H121" s="58" t="n">
        <v>2411.62</v>
      </c>
      <c r="I121" s="58" t="n">
        <v>2556.69</v>
      </c>
      <c r="J121" s="58" t="n">
        <v>2528.14</v>
      </c>
      <c r="K121" s="58" t="n">
        <v>2398.72</v>
      </c>
      <c r="L121" s="58" t="n">
        <v>2612.93</v>
      </c>
      <c r="M121" s="58" t="n">
        <v>2610.93</v>
      </c>
      <c r="N121" s="58" t="n">
        <v>2445.75</v>
      </c>
      <c r="O121" s="58" t="n">
        <v>2476.67</v>
      </c>
      <c r="P121" s="58" t="n">
        <v>2331.33</v>
      </c>
      <c r="Q121" s="28">
        <f>SUM(E121:P121)</f>
        <v/>
      </c>
    </row>
    <row r="122">
      <c r="A122" s="91">
        <f>Stammdaten!A46</f>
        <v/>
      </c>
      <c r="B122" s="73">
        <f>Stammdaten!B46</f>
        <v/>
      </c>
      <c r="C122" s="73">
        <f>Stammdaten!C46</f>
        <v/>
      </c>
      <c r="D122" s="135" t="inlineStr">
        <is>
          <t>DB1</t>
        </is>
      </c>
      <c r="E122" s="40">
        <f>E120-E121-Rückstellungen!D46-Rückstellungen!Q46-Rückstellungen!AD46</f>
        <v/>
      </c>
      <c r="F122" s="40">
        <f>F120-F121-Rückstellungen!E46-Rückstellungen!R46-Rückstellungen!AE46</f>
        <v/>
      </c>
      <c r="G122" s="40">
        <f>G120-G121-Rückstellungen!F46-Rückstellungen!S46-Rückstellungen!AF46</f>
        <v/>
      </c>
      <c r="H122" s="40">
        <f>H120-H121-Rückstellungen!G46-Rückstellungen!T46-Rückstellungen!AG46</f>
        <v/>
      </c>
      <c r="I122" s="40">
        <f>I120-I121-Rückstellungen!H46-Rückstellungen!U46-Rückstellungen!AH46</f>
        <v/>
      </c>
      <c r="J122" s="40">
        <f>J120-J121-Rückstellungen!I46-Rückstellungen!V46-Rückstellungen!AI46</f>
        <v/>
      </c>
      <c r="K122" s="40">
        <f>K120-K121-Rückstellungen!J46-Rückstellungen!W46-Rückstellungen!AJ46</f>
        <v/>
      </c>
      <c r="L122" s="40">
        <f>L120-L121-Rückstellungen!K46-Rückstellungen!X46-Rückstellungen!AK46</f>
        <v/>
      </c>
      <c r="M122" s="40">
        <f>M120-M121-Rückstellungen!L46-Rückstellungen!Y46-Rückstellungen!AL46</f>
        <v/>
      </c>
      <c r="N122" s="40">
        <f>N120-N121-Rückstellungen!M46-Rückstellungen!Z46-Rückstellungen!AM46</f>
        <v/>
      </c>
      <c r="O122" s="40">
        <f>O120-O121-Rückstellungen!N46-Rückstellungen!AA46-Rückstellungen!AN46</f>
        <v/>
      </c>
      <c r="P122" s="40">
        <f>P120-P121-Rückstellungen!O46-Rückstellungen!AB46-Rückstellungen!AO46</f>
        <v/>
      </c>
      <c r="Q122" s="59">
        <f>SUM(E122:P122)</f>
        <v/>
      </c>
      <c r="R122" s="126">
        <f>IFERROR(Q122/Q120,0)</f>
        <v/>
      </c>
    </row>
    <row r="123">
      <c r="A123" s="91">
        <f>Stammdaten!A47</f>
        <v/>
      </c>
      <c r="B123" s="73">
        <f>Stammdaten!B47</f>
        <v/>
      </c>
      <c r="C123" s="73">
        <f>Stammdaten!C47</f>
        <v/>
      </c>
      <c r="D123" s="127" t="inlineStr">
        <is>
          <t>Verrechnung</t>
        </is>
      </c>
      <c r="E123" s="58" t="n">
        <v>6305.96</v>
      </c>
      <c r="F123" s="58" t="n">
        <v>6599.53</v>
      </c>
      <c r="G123" s="58" t="n">
        <v>6543.94</v>
      </c>
      <c r="H123" s="58" t="n">
        <v>6174.22</v>
      </c>
      <c r="I123" s="58" t="n">
        <v>6564.47</v>
      </c>
      <c r="J123" s="58" t="n">
        <v>6089.54</v>
      </c>
      <c r="K123" s="58" t="n">
        <v>6084.1</v>
      </c>
      <c r="L123" s="58" t="n">
        <v>6326.7</v>
      </c>
      <c r="M123" s="58" t="n">
        <v>6366.51</v>
      </c>
      <c r="N123" s="58" t="n">
        <v>6144.57</v>
      </c>
      <c r="O123" s="58" t="n">
        <v>6223.44</v>
      </c>
      <c r="P123" s="58" t="n">
        <v>5768.84</v>
      </c>
      <c r="Q123" s="28">
        <f>SUM(E123:P123)</f>
        <v/>
      </c>
    </row>
    <row r="124">
      <c r="A124" s="91">
        <f>Stammdaten!A47</f>
        <v/>
      </c>
      <c r="B124" s="73">
        <f>Stammdaten!B47</f>
        <v/>
      </c>
      <c r="C124" s="73">
        <f>Stammdaten!C47</f>
        <v/>
      </c>
      <c r="D124" s="128" t="inlineStr">
        <is>
          <t>Selbstkosten</t>
        </is>
      </c>
      <c r="E124" s="58" t="n">
        <v>5437.13</v>
      </c>
      <c r="F124" s="58" t="n">
        <v>5379.98</v>
      </c>
      <c r="G124" s="58" t="n">
        <v>5623.26</v>
      </c>
      <c r="H124" s="58" t="n">
        <v>5291.44</v>
      </c>
      <c r="I124" s="58" t="n">
        <v>5448.89</v>
      </c>
      <c r="J124" s="58" t="n">
        <v>5057.86</v>
      </c>
      <c r="K124" s="58" t="n">
        <v>5066.43</v>
      </c>
      <c r="L124" s="58" t="n">
        <v>5382.15</v>
      </c>
      <c r="M124" s="58" t="n">
        <v>5508.63</v>
      </c>
      <c r="N124" s="58" t="n">
        <v>5177.78</v>
      </c>
      <c r="O124" s="58" t="n">
        <v>5355.47</v>
      </c>
      <c r="P124" s="58" t="n">
        <v>4909.93</v>
      </c>
      <c r="Q124" s="28">
        <f>SUM(E124:P124)</f>
        <v/>
      </c>
    </row>
    <row r="125">
      <c r="A125" s="91">
        <f>Stammdaten!A47</f>
        <v/>
      </c>
      <c r="B125" s="73">
        <f>Stammdaten!B47</f>
        <v/>
      </c>
      <c r="C125" s="73">
        <f>Stammdaten!C47</f>
        <v/>
      </c>
      <c r="D125" s="135" t="inlineStr">
        <is>
          <t>DB1</t>
        </is>
      </c>
      <c r="E125" s="40">
        <f>E123-E124-Rückstellungen!D47-Rückstellungen!Q47-Rückstellungen!AD47</f>
        <v/>
      </c>
      <c r="F125" s="40">
        <f>F123-F124-Rückstellungen!E47-Rückstellungen!R47-Rückstellungen!AE47</f>
        <v/>
      </c>
      <c r="G125" s="40">
        <f>G123-G124-Rückstellungen!F47-Rückstellungen!S47-Rückstellungen!AF47</f>
        <v/>
      </c>
      <c r="H125" s="40">
        <f>H123-H124-Rückstellungen!G47-Rückstellungen!T47-Rückstellungen!AG47</f>
        <v/>
      </c>
      <c r="I125" s="40">
        <f>I123-I124-Rückstellungen!H47-Rückstellungen!U47-Rückstellungen!AH47</f>
        <v/>
      </c>
      <c r="J125" s="40">
        <f>J123-J124-Rückstellungen!I47-Rückstellungen!V47-Rückstellungen!AI47</f>
        <v/>
      </c>
      <c r="K125" s="40">
        <f>K123-K124-Rückstellungen!J47-Rückstellungen!W47-Rückstellungen!AJ47</f>
        <v/>
      </c>
      <c r="L125" s="40">
        <f>L123-L124-Rückstellungen!K47-Rückstellungen!X47-Rückstellungen!AK47</f>
        <v/>
      </c>
      <c r="M125" s="40">
        <f>M123-M124-Rückstellungen!L47-Rückstellungen!Y47-Rückstellungen!AL47</f>
        <v/>
      </c>
      <c r="N125" s="40">
        <f>N123-N124-Rückstellungen!M47-Rückstellungen!Z47-Rückstellungen!AM47</f>
        <v/>
      </c>
      <c r="O125" s="40">
        <f>O123-O124-Rückstellungen!N47-Rückstellungen!AA47-Rückstellungen!AN47</f>
        <v/>
      </c>
      <c r="P125" s="40">
        <f>P123-P124-Rückstellungen!O47-Rückstellungen!AB47-Rückstellungen!AO47</f>
        <v/>
      </c>
      <c r="Q125" s="59">
        <f>SUM(E125:P125)</f>
        <v/>
      </c>
      <c r="R125" s="126">
        <f>IFERROR(Q125/Q123,0)</f>
        <v/>
      </c>
    </row>
    <row r="126">
      <c r="A126" s="91">
        <f>Stammdaten!A48</f>
        <v/>
      </c>
      <c r="B126" s="73">
        <f>Stammdaten!B48</f>
        <v/>
      </c>
      <c r="C126" s="73">
        <f>Stammdaten!C48</f>
        <v/>
      </c>
      <c r="D126" s="127" t="inlineStr">
        <is>
          <t>Verrechnung</t>
        </is>
      </c>
      <c r="E126" s="58" t="n">
        <v>5820.18</v>
      </c>
      <c r="F126" s="58" t="n">
        <v>5766.09</v>
      </c>
      <c r="G126" s="58" t="n">
        <v>6002.67</v>
      </c>
      <c r="H126" s="58" t="n">
        <v>5890.63</v>
      </c>
      <c r="I126" s="58" t="n">
        <v>5876.36</v>
      </c>
      <c r="J126" s="58" t="n">
        <v>6184.77</v>
      </c>
      <c r="K126" s="58" t="n">
        <v>5453.5</v>
      </c>
      <c r="L126" s="58" t="n">
        <v>5900.73</v>
      </c>
      <c r="M126" s="58" t="n">
        <v>5838.55</v>
      </c>
      <c r="N126" s="58" t="n">
        <v>5967.71</v>
      </c>
      <c r="O126" s="58" t="n">
        <v>5854.44</v>
      </c>
      <c r="P126" s="58" t="n">
        <v>5497.69</v>
      </c>
      <c r="Q126" s="28">
        <f>SUM(E126:P126)</f>
        <v/>
      </c>
    </row>
    <row r="127">
      <c r="A127" s="91">
        <f>Stammdaten!A48</f>
        <v/>
      </c>
      <c r="B127" s="73">
        <f>Stammdaten!B48</f>
        <v/>
      </c>
      <c r="C127" s="73">
        <f>Stammdaten!C48</f>
        <v/>
      </c>
      <c r="D127" s="128" t="inlineStr">
        <is>
          <t>Selbstkosten</t>
        </is>
      </c>
      <c r="E127" s="58" t="n">
        <v>4443.61</v>
      </c>
      <c r="F127" s="58" t="n">
        <v>4383.09</v>
      </c>
      <c r="G127" s="58" t="n">
        <v>4498.13</v>
      </c>
      <c r="H127" s="58" t="n">
        <v>4390.16</v>
      </c>
      <c r="I127" s="58" t="n">
        <v>4307.73</v>
      </c>
      <c r="J127" s="58" t="n">
        <v>4657.96</v>
      </c>
      <c r="K127" s="58" t="n">
        <v>4080.33</v>
      </c>
      <c r="L127" s="58" t="n">
        <v>4378.8</v>
      </c>
      <c r="M127" s="58" t="n">
        <v>4429.43</v>
      </c>
      <c r="N127" s="58" t="n">
        <v>4426.8</v>
      </c>
      <c r="O127" s="58" t="n">
        <v>4335.01</v>
      </c>
      <c r="P127" s="58" t="n">
        <v>4048.72</v>
      </c>
      <c r="Q127" s="28">
        <f>SUM(E127:P127)</f>
        <v/>
      </c>
    </row>
    <row r="128">
      <c r="A128" s="91">
        <f>Stammdaten!A48</f>
        <v/>
      </c>
      <c r="B128" s="73">
        <f>Stammdaten!B48</f>
        <v/>
      </c>
      <c r="C128" s="73">
        <f>Stammdaten!C48</f>
        <v/>
      </c>
      <c r="D128" s="135" t="inlineStr">
        <is>
          <t>DB1</t>
        </is>
      </c>
      <c r="E128" s="40">
        <f>E126-E127-Rückstellungen!D48-Rückstellungen!Q48-Rückstellungen!AD48</f>
        <v/>
      </c>
      <c r="F128" s="40">
        <f>F126-F127-Rückstellungen!E48-Rückstellungen!R48-Rückstellungen!AE48</f>
        <v/>
      </c>
      <c r="G128" s="40">
        <f>G126-G127-Rückstellungen!F48-Rückstellungen!S48-Rückstellungen!AF48</f>
        <v/>
      </c>
      <c r="H128" s="40">
        <f>H126-H127-Rückstellungen!G48-Rückstellungen!T48-Rückstellungen!AG48</f>
        <v/>
      </c>
      <c r="I128" s="40">
        <f>I126-I127-Rückstellungen!H48-Rückstellungen!U48-Rückstellungen!AH48</f>
        <v/>
      </c>
      <c r="J128" s="40">
        <f>J126-J127-Rückstellungen!I48-Rückstellungen!V48-Rückstellungen!AI48</f>
        <v/>
      </c>
      <c r="K128" s="40">
        <f>K126-K127-Rückstellungen!J48-Rückstellungen!W48-Rückstellungen!AJ48</f>
        <v/>
      </c>
      <c r="L128" s="40">
        <f>L126-L127-Rückstellungen!K48-Rückstellungen!X48-Rückstellungen!AK48</f>
        <v/>
      </c>
      <c r="M128" s="40">
        <f>M126-M127-Rückstellungen!L48-Rückstellungen!Y48-Rückstellungen!AL48</f>
        <v/>
      </c>
      <c r="N128" s="40">
        <f>N126-N127-Rückstellungen!M48-Rückstellungen!Z48-Rückstellungen!AM48</f>
        <v/>
      </c>
      <c r="O128" s="40">
        <f>O126-O127-Rückstellungen!N48-Rückstellungen!AA48-Rückstellungen!AN48</f>
        <v/>
      </c>
      <c r="P128" s="40">
        <f>P126-P127-Rückstellungen!O48-Rückstellungen!AB48-Rückstellungen!AO48</f>
        <v/>
      </c>
      <c r="Q128" s="59">
        <f>SUM(E128:P128)</f>
        <v/>
      </c>
      <c r="R128" s="126">
        <f>IFERROR(Q128/Q126,0)</f>
        <v/>
      </c>
    </row>
    <row r="129">
      <c r="A129" s="89">
        <f>Stammdaten!A49</f>
        <v/>
      </c>
      <c r="B129" s="67">
        <f>Stammdaten!B49</f>
        <v/>
      </c>
      <c r="C129" s="67">
        <f>Stammdaten!C49</f>
        <v/>
      </c>
      <c r="D129" s="123" t="inlineStr">
        <is>
          <t>Verrechnung</t>
        </is>
      </c>
      <c r="E129" s="58" t="n">
        <v>5965.16</v>
      </c>
      <c r="F129" s="58" t="n">
        <v>5896.76</v>
      </c>
      <c r="G129" s="58" t="n">
        <v>5755.33</v>
      </c>
      <c r="H129" s="58" t="n">
        <v>6062.97</v>
      </c>
      <c r="I129" s="58" t="n">
        <v>5800.93</v>
      </c>
      <c r="J129" s="58" t="n">
        <v>5758.5</v>
      </c>
      <c r="K129" s="58" t="n">
        <v>5717.53</v>
      </c>
      <c r="L129" s="58" t="n">
        <v>5994.24</v>
      </c>
      <c r="M129" s="58" t="n">
        <v>5918.48</v>
      </c>
      <c r="N129" s="58" t="n">
        <v>5974.3</v>
      </c>
      <c r="O129" s="58" t="n">
        <v>5839.11</v>
      </c>
      <c r="P129" s="58" t="n">
        <v>5397.65</v>
      </c>
      <c r="Q129" s="28">
        <f>SUM(E129:P129)</f>
        <v/>
      </c>
    </row>
    <row r="130">
      <c r="A130" s="89">
        <f>Stammdaten!A49</f>
        <v/>
      </c>
      <c r="B130" s="67">
        <f>Stammdaten!B49</f>
        <v/>
      </c>
      <c r="C130" s="67">
        <f>Stammdaten!C49</f>
        <v/>
      </c>
      <c r="D130" s="124" t="inlineStr">
        <is>
          <t>Selbstkosten</t>
        </is>
      </c>
      <c r="E130" s="58" t="n">
        <v>3434.58</v>
      </c>
      <c r="F130" s="58" t="n">
        <v>3453.62</v>
      </c>
      <c r="G130" s="58" t="n">
        <v>3206.83</v>
      </c>
      <c r="H130" s="58" t="n">
        <v>3439.99</v>
      </c>
      <c r="I130" s="58" t="n">
        <v>3408.56</v>
      </c>
      <c r="J130" s="58" t="n">
        <v>3318.24</v>
      </c>
      <c r="K130" s="58" t="n">
        <v>3317.28</v>
      </c>
      <c r="L130" s="58" t="n">
        <v>3468.3</v>
      </c>
      <c r="M130" s="58" t="n">
        <v>3385.57</v>
      </c>
      <c r="N130" s="58" t="n">
        <v>3400.88</v>
      </c>
      <c r="O130" s="58" t="n">
        <v>3286.08</v>
      </c>
      <c r="P130" s="58" t="n">
        <v>3137.4</v>
      </c>
      <c r="Q130" s="28">
        <f>SUM(E130:P130)</f>
        <v/>
      </c>
    </row>
    <row r="131">
      <c r="A131" s="136">
        <f>Stammdaten!A49</f>
        <v/>
      </c>
      <c r="B131" s="137">
        <f>Stammdaten!B49</f>
        <v/>
      </c>
      <c r="C131" s="137">
        <f>Stammdaten!C49</f>
        <v/>
      </c>
      <c r="D131" s="138" t="inlineStr">
        <is>
          <t>DB1</t>
        </is>
      </c>
      <c r="E131" s="132">
        <f>E129-E130-Rückstellungen!D49-Rückstellungen!Q49-Rückstellungen!AD49</f>
        <v/>
      </c>
      <c r="F131" s="132">
        <f>F129-F130-Rückstellungen!E49-Rückstellungen!R49-Rückstellungen!AE49</f>
        <v/>
      </c>
      <c r="G131" s="132">
        <f>G129-G130-Rückstellungen!F49-Rückstellungen!S49-Rückstellungen!AF49</f>
        <v/>
      </c>
      <c r="H131" s="132">
        <f>H129-H130-Rückstellungen!G49-Rückstellungen!T49-Rückstellungen!AG49</f>
        <v/>
      </c>
      <c r="I131" s="132">
        <f>I129-I130-Rückstellungen!H49-Rückstellungen!U49-Rückstellungen!AH49</f>
        <v/>
      </c>
      <c r="J131" s="132">
        <f>J129-J130-Rückstellungen!I49-Rückstellungen!V49-Rückstellungen!AI49</f>
        <v/>
      </c>
      <c r="K131" s="132">
        <f>K129-K130-Rückstellungen!J49-Rückstellungen!W49-Rückstellungen!AJ49</f>
        <v/>
      </c>
      <c r="L131" s="132">
        <f>L129-L130-Rückstellungen!K49-Rückstellungen!X49-Rückstellungen!AK49</f>
        <v/>
      </c>
      <c r="M131" s="132">
        <f>M129-M130-Rückstellungen!L49-Rückstellungen!Y49-Rückstellungen!AL49</f>
        <v/>
      </c>
      <c r="N131" s="132">
        <f>N129-N130-Rückstellungen!M49-Rückstellungen!Z49-Rückstellungen!AM49</f>
        <v/>
      </c>
      <c r="O131" s="132">
        <f>O129-O130-Rückstellungen!N49-Rückstellungen!AA49-Rückstellungen!AN49</f>
        <v/>
      </c>
      <c r="P131" s="132">
        <f>P129-P130-Rückstellungen!O49-Rückstellungen!AB49-Rückstellungen!AO49</f>
        <v/>
      </c>
      <c r="Q131" s="133">
        <f>SUM(E131:P131)</f>
        <v/>
      </c>
      <c r="R131" s="134">
        <f>IFERROR(Q131/Q129,0)</f>
        <v/>
      </c>
    </row>
    <row r="132">
      <c r="A132" s="89">
        <f>Stammdaten!A50</f>
        <v/>
      </c>
      <c r="B132" s="67">
        <f>Stammdaten!B50</f>
        <v/>
      </c>
      <c r="C132" s="67">
        <f>Stammdaten!C50</f>
        <v/>
      </c>
      <c r="D132" s="123" t="inlineStr">
        <is>
          <t>Verrechnung</t>
        </is>
      </c>
      <c r="E132" s="58" t="n">
        <v>6325.77</v>
      </c>
      <c r="F132" s="58" t="n">
        <v>6487.72</v>
      </c>
      <c r="G132" s="58" t="n">
        <v>6648.38</v>
      </c>
      <c r="H132" s="58" t="n">
        <v>6754.65</v>
      </c>
      <c r="I132" s="58" t="n">
        <v>6262.17</v>
      </c>
      <c r="J132" s="58" t="n">
        <v>6472.29</v>
      </c>
      <c r="K132" s="58" t="n">
        <v>6073.28</v>
      </c>
      <c r="L132" s="58" t="n">
        <v>6242.39</v>
      </c>
      <c r="M132" s="58" t="n">
        <v>6231.43</v>
      </c>
      <c r="N132" s="58" t="n">
        <v>6272.32</v>
      </c>
      <c r="O132" s="58" t="n">
        <v>6638.72</v>
      </c>
      <c r="P132" s="58" t="n">
        <v>5787.96</v>
      </c>
      <c r="Q132" s="28">
        <f>SUM(E132:P132)</f>
        <v/>
      </c>
    </row>
    <row r="133">
      <c r="A133" s="89">
        <f>Stammdaten!A50</f>
        <v/>
      </c>
      <c r="B133" s="67">
        <f>Stammdaten!B50</f>
        <v/>
      </c>
      <c r="C133" s="67">
        <f>Stammdaten!C50</f>
        <v/>
      </c>
      <c r="D133" s="124" t="inlineStr">
        <is>
          <t>Selbstkosten</t>
        </is>
      </c>
      <c r="E133" s="58" t="n">
        <v>4058.01</v>
      </c>
      <c r="F133" s="58" t="n">
        <v>4112.63</v>
      </c>
      <c r="G133" s="58" t="n">
        <v>4158.96</v>
      </c>
      <c r="H133" s="58" t="n">
        <v>4212.68</v>
      </c>
      <c r="I133" s="58" t="n">
        <v>3819.91</v>
      </c>
      <c r="J133" s="58" t="n">
        <v>4070</v>
      </c>
      <c r="K133" s="58" t="n">
        <v>3751.36</v>
      </c>
      <c r="L133" s="58" t="n">
        <v>3841.19</v>
      </c>
      <c r="M133" s="58" t="n">
        <v>3824.52</v>
      </c>
      <c r="N133" s="58" t="n">
        <v>3905.9</v>
      </c>
      <c r="O133" s="58" t="n">
        <v>4168.07</v>
      </c>
      <c r="P133" s="58" t="n">
        <v>3746.23</v>
      </c>
      <c r="Q133" s="28">
        <f>SUM(E133:P133)</f>
        <v/>
      </c>
    </row>
    <row r="134">
      <c r="A134" s="89">
        <f>Stammdaten!A50</f>
        <v/>
      </c>
      <c r="B134" s="67">
        <f>Stammdaten!B50</f>
        <v/>
      </c>
      <c r="C134" s="67">
        <f>Stammdaten!C50</f>
        <v/>
      </c>
      <c r="D134" s="125" t="inlineStr">
        <is>
          <t>DB1</t>
        </is>
      </c>
      <c r="E134" s="40">
        <f>E132-E133-Rückstellungen!D50-Rückstellungen!Q50-Rückstellungen!AD50</f>
        <v/>
      </c>
      <c r="F134" s="40">
        <f>F132-F133-Rückstellungen!E50-Rückstellungen!R50-Rückstellungen!AE50</f>
        <v/>
      </c>
      <c r="G134" s="40">
        <f>G132-G133-Rückstellungen!F50-Rückstellungen!S50-Rückstellungen!AF50</f>
        <v/>
      </c>
      <c r="H134" s="40">
        <f>H132-H133-Rückstellungen!G50-Rückstellungen!T50-Rückstellungen!AG50</f>
        <v/>
      </c>
      <c r="I134" s="40">
        <f>I132-I133-Rückstellungen!H50-Rückstellungen!U50-Rückstellungen!AH50</f>
        <v/>
      </c>
      <c r="J134" s="40">
        <f>J132-J133-Rückstellungen!I50-Rückstellungen!V50-Rückstellungen!AI50</f>
        <v/>
      </c>
      <c r="K134" s="40">
        <f>K132-K133-Rückstellungen!J50-Rückstellungen!W50-Rückstellungen!AJ50</f>
        <v/>
      </c>
      <c r="L134" s="40">
        <f>L132-L133-Rückstellungen!K50-Rückstellungen!X50-Rückstellungen!AK50</f>
        <v/>
      </c>
      <c r="M134" s="40">
        <f>M132-M133-Rückstellungen!L50-Rückstellungen!Y50-Rückstellungen!AL50</f>
        <v/>
      </c>
      <c r="N134" s="40">
        <f>N132-N133-Rückstellungen!M50-Rückstellungen!Z50-Rückstellungen!AM50</f>
        <v/>
      </c>
      <c r="O134" s="40">
        <f>O132-O133-Rückstellungen!N50-Rückstellungen!AA50-Rückstellungen!AN50</f>
        <v/>
      </c>
      <c r="P134" s="40">
        <f>P132-P133-Rückstellungen!O50-Rückstellungen!AB50-Rückstellungen!AO50</f>
        <v/>
      </c>
      <c r="Q134" s="59">
        <f>SUM(E134:P134)</f>
        <v/>
      </c>
      <c r="R134" s="126">
        <f>IFERROR(Q134/Q132,0)</f>
        <v/>
      </c>
    </row>
    <row r="135">
      <c r="A135" s="89">
        <f>Stammdaten!A51</f>
        <v/>
      </c>
      <c r="B135" s="67">
        <f>Stammdaten!B51</f>
        <v/>
      </c>
      <c r="C135" s="67">
        <f>Stammdaten!C51</f>
        <v/>
      </c>
      <c r="D135" s="123" t="inlineStr">
        <is>
          <t>Verrechnung</t>
        </is>
      </c>
      <c r="E135" s="58" t="n">
        <v>4968.49</v>
      </c>
      <c r="F135" s="58" t="n">
        <v>5241.64</v>
      </c>
      <c r="G135" s="58" t="n">
        <v>5078.44</v>
      </c>
      <c r="H135" s="58" t="n">
        <v>5112.51</v>
      </c>
      <c r="I135" s="58" t="n">
        <v>5079.83</v>
      </c>
      <c r="J135" s="58" t="n">
        <v>5349.67</v>
      </c>
      <c r="K135" s="58" t="n">
        <v>4591.22</v>
      </c>
      <c r="L135" s="58" t="n">
        <v>5362.87</v>
      </c>
      <c r="M135" s="58" t="n">
        <v>4964.78</v>
      </c>
      <c r="N135" s="58" t="n">
        <v>5290.18</v>
      </c>
      <c r="O135" s="58" t="n">
        <v>5356.27</v>
      </c>
      <c r="P135" s="58" t="n">
        <v>4776.29</v>
      </c>
      <c r="Q135" s="28">
        <f>SUM(E135:P135)</f>
        <v/>
      </c>
    </row>
    <row r="136">
      <c r="A136" s="89">
        <f>Stammdaten!A51</f>
        <v/>
      </c>
      <c r="B136" s="67">
        <f>Stammdaten!B51</f>
        <v/>
      </c>
      <c r="C136" s="67">
        <f>Stammdaten!C51</f>
        <v/>
      </c>
      <c r="D136" s="124" t="inlineStr">
        <is>
          <t>Selbstkosten</t>
        </is>
      </c>
      <c r="E136" s="58" t="n">
        <v>2387.13</v>
      </c>
      <c r="F136" s="58" t="n">
        <v>2574.35</v>
      </c>
      <c r="G136" s="58" t="n">
        <v>2482</v>
      </c>
      <c r="H136" s="58" t="n">
        <v>2503.02</v>
      </c>
      <c r="I136" s="58" t="n">
        <v>2346.15</v>
      </c>
      <c r="J136" s="58" t="n">
        <v>2611.58</v>
      </c>
      <c r="K136" s="58" t="n">
        <v>2126.32</v>
      </c>
      <c r="L136" s="58" t="n">
        <v>2532.46</v>
      </c>
      <c r="M136" s="58" t="n">
        <v>2440.83</v>
      </c>
      <c r="N136" s="58" t="n">
        <v>2561.79</v>
      </c>
      <c r="O136" s="58" t="n">
        <v>2541.75</v>
      </c>
      <c r="P136" s="58" t="n">
        <v>2253.28</v>
      </c>
      <c r="Q136" s="28">
        <f>SUM(E136:P136)</f>
        <v/>
      </c>
    </row>
    <row r="137">
      <c r="A137" s="89">
        <f>Stammdaten!A51</f>
        <v/>
      </c>
      <c r="B137" s="67">
        <f>Stammdaten!B51</f>
        <v/>
      </c>
      <c r="C137" s="67">
        <f>Stammdaten!C51</f>
        <v/>
      </c>
      <c r="D137" s="125" t="inlineStr">
        <is>
          <t>DB1</t>
        </is>
      </c>
      <c r="E137" s="40">
        <f>E135-E136-Rückstellungen!D51-Rückstellungen!Q51-Rückstellungen!AD51</f>
        <v/>
      </c>
      <c r="F137" s="40">
        <f>F135-F136-Rückstellungen!E51-Rückstellungen!R51-Rückstellungen!AE51</f>
        <v/>
      </c>
      <c r="G137" s="40">
        <f>G135-G136-Rückstellungen!F51-Rückstellungen!S51-Rückstellungen!AF51</f>
        <v/>
      </c>
      <c r="H137" s="40">
        <f>H135-H136-Rückstellungen!G51-Rückstellungen!T51-Rückstellungen!AG51</f>
        <v/>
      </c>
      <c r="I137" s="40">
        <f>I135-I136-Rückstellungen!H51-Rückstellungen!U51-Rückstellungen!AH51</f>
        <v/>
      </c>
      <c r="J137" s="40">
        <f>J135-J136-Rückstellungen!I51-Rückstellungen!V51-Rückstellungen!AI51</f>
        <v/>
      </c>
      <c r="K137" s="40">
        <f>K135-K136-Rückstellungen!J51-Rückstellungen!W51-Rückstellungen!AJ51</f>
        <v/>
      </c>
      <c r="L137" s="40">
        <f>L135-L136-Rückstellungen!K51-Rückstellungen!X51-Rückstellungen!AK51</f>
        <v/>
      </c>
      <c r="M137" s="40">
        <f>M135-M136-Rückstellungen!L51-Rückstellungen!Y51-Rückstellungen!AL51</f>
        <v/>
      </c>
      <c r="N137" s="40">
        <f>N135-N136-Rückstellungen!M51-Rückstellungen!Z51-Rückstellungen!AM51</f>
        <v/>
      </c>
      <c r="O137" s="40">
        <f>O135-O136-Rückstellungen!N51-Rückstellungen!AA51-Rückstellungen!AN51</f>
        <v/>
      </c>
      <c r="P137" s="40">
        <f>P135-P136-Rückstellungen!O51-Rückstellungen!AB51-Rückstellungen!AO51</f>
        <v/>
      </c>
      <c r="Q137" s="59">
        <f>SUM(E137:P137)</f>
        <v/>
      </c>
      <c r="R137" s="126">
        <f>IFERROR(Q137/Q135,0)</f>
        <v/>
      </c>
    </row>
    <row r="138">
      <c r="A138" s="89">
        <f>Stammdaten!A52</f>
        <v/>
      </c>
      <c r="B138" s="67">
        <f>Stammdaten!B52</f>
        <v/>
      </c>
      <c r="C138" s="67">
        <f>Stammdaten!C52</f>
        <v/>
      </c>
      <c r="D138" s="123" t="inlineStr">
        <is>
          <t>Verrechnung</t>
        </is>
      </c>
      <c r="E138" s="58" t="n">
        <v>4235.06</v>
      </c>
      <c r="F138" s="58" t="n">
        <v>4460.18</v>
      </c>
      <c r="G138" s="58" t="n">
        <v>4419.1</v>
      </c>
      <c r="H138" s="58" t="n">
        <v>4526.79</v>
      </c>
      <c r="I138" s="58" t="n">
        <v>4255.42</v>
      </c>
      <c r="J138" s="58" t="n">
        <v>4393.25</v>
      </c>
      <c r="K138" s="58" t="n">
        <v>4189.58</v>
      </c>
      <c r="L138" s="58" t="n">
        <v>4178.79</v>
      </c>
      <c r="M138" s="58" t="n">
        <v>4372.11</v>
      </c>
      <c r="N138" s="58" t="n">
        <v>4464.3</v>
      </c>
      <c r="O138" s="58" t="n">
        <v>4549.13</v>
      </c>
      <c r="P138" s="58" t="n">
        <v>4210.7</v>
      </c>
      <c r="Q138" s="28">
        <f>SUM(E138:P138)</f>
        <v/>
      </c>
    </row>
    <row r="139">
      <c r="A139" s="89">
        <f>Stammdaten!A52</f>
        <v/>
      </c>
      <c r="B139" s="67">
        <f>Stammdaten!B52</f>
        <v/>
      </c>
      <c r="C139" s="67">
        <f>Stammdaten!C52</f>
        <v/>
      </c>
      <c r="D139" s="124" t="inlineStr">
        <is>
          <t>Selbstkosten</t>
        </is>
      </c>
      <c r="E139" s="58" t="n">
        <v>2053.43</v>
      </c>
      <c r="F139" s="58" t="n">
        <v>2038.84</v>
      </c>
      <c r="G139" s="58" t="n">
        <v>2104.81</v>
      </c>
      <c r="H139" s="58" t="n">
        <v>2196.95</v>
      </c>
      <c r="I139" s="58" t="n">
        <v>1950.16</v>
      </c>
      <c r="J139" s="58" t="n">
        <v>2068.14</v>
      </c>
      <c r="K139" s="58" t="n">
        <v>1944.45</v>
      </c>
      <c r="L139" s="58" t="n">
        <v>1966.15</v>
      </c>
      <c r="M139" s="58" t="n">
        <v>2102.5</v>
      </c>
      <c r="N139" s="58" t="n">
        <v>2056.58</v>
      </c>
      <c r="O139" s="58" t="n">
        <v>2109.74</v>
      </c>
      <c r="P139" s="58" t="n">
        <v>2000.36</v>
      </c>
      <c r="Q139" s="28">
        <f>SUM(E139:P139)</f>
        <v/>
      </c>
    </row>
    <row r="140">
      <c r="A140" s="89">
        <f>Stammdaten!A52</f>
        <v/>
      </c>
      <c r="B140" s="67">
        <f>Stammdaten!B52</f>
        <v/>
      </c>
      <c r="C140" s="67">
        <f>Stammdaten!C52</f>
        <v/>
      </c>
      <c r="D140" s="125" t="inlineStr">
        <is>
          <t>DB1</t>
        </is>
      </c>
      <c r="E140" s="40">
        <f>E138-E139-Rückstellungen!D52-Rückstellungen!Q52-Rückstellungen!AD52</f>
        <v/>
      </c>
      <c r="F140" s="40">
        <f>F138-F139-Rückstellungen!E52-Rückstellungen!R52-Rückstellungen!AE52</f>
        <v/>
      </c>
      <c r="G140" s="40">
        <f>G138-G139-Rückstellungen!F52-Rückstellungen!S52-Rückstellungen!AF52</f>
        <v/>
      </c>
      <c r="H140" s="40">
        <f>H138-H139-Rückstellungen!G52-Rückstellungen!T52-Rückstellungen!AG52</f>
        <v/>
      </c>
      <c r="I140" s="40">
        <f>I138-I139-Rückstellungen!H52-Rückstellungen!U52-Rückstellungen!AH52</f>
        <v/>
      </c>
      <c r="J140" s="40">
        <f>J138-J139-Rückstellungen!I52-Rückstellungen!V52-Rückstellungen!AI52</f>
        <v/>
      </c>
      <c r="K140" s="40">
        <f>K138-K139-Rückstellungen!J52-Rückstellungen!W52-Rückstellungen!AJ52</f>
        <v/>
      </c>
      <c r="L140" s="40">
        <f>L138-L139-Rückstellungen!K52-Rückstellungen!X52-Rückstellungen!AK52</f>
        <v/>
      </c>
      <c r="M140" s="40">
        <f>M138-M139-Rückstellungen!L52-Rückstellungen!Y52-Rückstellungen!AL52</f>
        <v/>
      </c>
      <c r="N140" s="40">
        <f>N138-N139-Rückstellungen!M52-Rückstellungen!Z52-Rückstellungen!AM52</f>
        <v/>
      </c>
      <c r="O140" s="40">
        <f>O138-O139-Rückstellungen!N52-Rückstellungen!AA52-Rückstellungen!AN52</f>
        <v/>
      </c>
      <c r="P140" s="40">
        <f>P138-P139-Rückstellungen!O52-Rückstellungen!AB52-Rückstellungen!AO52</f>
        <v/>
      </c>
      <c r="Q140" s="59">
        <f>SUM(E140:P140)</f>
        <v/>
      </c>
      <c r="R140" s="126">
        <f>IFERROR(Q140/Q138,0)</f>
        <v/>
      </c>
    </row>
    <row r="141">
      <c r="A141" s="89">
        <f>Stammdaten!A53</f>
        <v/>
      </c>
      <c r="B141" s="67">
        <f>Stammdaten!B53</f>
        <v/>
      </c>
      <c r="C141" s="67">
        <f>Stammdaten!C53</f>
        <v/>
      </c>
      <c r="D141" s="123" t="inlineStr">
        <is>
          <t>Verrechnung</t>
        </is>
      </c>
      <c r="E141" s="58" t="n">
        <v>6308.1</v>
      </c>
      <c r="F141" s="58" t="n">
        <v>6114.1</v>
      </c>
      <c r="G141" s="58" t="n">
        <v>5979.61</v>
      </c>
      <c r="H141" s="58" t="n">
        <v>6152.58</v>
      </c>
      <c r="I141" s="58" t="n">
        <v>5924.95</v>
      </c>
      <c r="J141" s="58" t="n">
        <v>6133</v>
      </c>
      <c r="K141" s="58" t="n">
        <v>5509.13</v>
      </c>
      <c r="L141" s="58" t="n">
        <v>6115.85</v>
      </c>
      <c r="M141" s="58" t="n">
        <v>6052.35</v>
      </c>
      <c r="N141" s="58" t="n">
        <v>5929.73</v>
      </c>
      <c r="O141" s="58" t="n">
        <v>5960.92</v>
      </c>
      <c r="P141" s="58" t="n">
        <v>5629.88</v>
      </c>
      <c r="Q141" s="28">
        <f>SUM(E141:P141)</f>
        <v/>
      </c>
    </row>
    <row r="142">
      <c r="A142" s="89">
        <f>Stammdaten!A53</f>
        <v/>
      </c>
      <c r="B142" s="67">
        <f>Stammdaten!B53</f>
        <v/>
      </c>
      <c r="C142" s="67">
        <f>Stammdaten!C53</f>
        <v/>
      </c>
      <c r="D142" s="124" t="inlineStr">
        <is>
          <t>Selbstkosten</t>
        </is>
      </c>
      <c r="E142" s="58" t="n">
        <v>3151.2</v>
      </c>
      <c r="F142" s="58" t="n">
        <v>2936.55</v>
      </c>
      <c r="G142" s="58" t="n">
        <v>2900.77</v>
      </c>
      <c r="H142" s="58" t="n">
        <v>3021.64</v>
      </c>
      <c r="I142" s="58" t="n">
        <v>2898.59</v>
      </c>
      <c r="J142" s="58" t="n">
        <v>2869.95</v>
      </c>
      <c r="K142" s="58" t="n">
        <v>2639.99</v>
      </c>
      <c r="L142" s="58" t="n">
        <v>2995.6</v>
      </c>
      <c r="M142" s="58" t="n">
        <v>2883.74</v>
      </c>
      <c r="N142" s="58" t="n">
        <v>2872.82</v>
      </c>
      <c r="O142" s="58" t="n">
        <v>2825.23</v>
      </c>
      <c r="P142" s="58" t="n">
        <v>2713.36</v>
      </c>
      <c r="Q142" s="28">
        <f>SUM(E142:P142)</f>
        <v/>
      </c>
    </row>
    <row r="143">
      <c r="A143" s="89">
        <f>Stammdaten!A53</f>
        <v/>
      </c>
      <c r="B143" s="67">
        <f>Stammdaten!B53</f>
        <v/>
      </c>
      <c r="C143" s="67">
        <f>Stammdaten!C53</f>
        <v/>
      </c>
      <c r="D143" s="125" t="inlineStr">
        <is>
          <t>DB1</t>
        </is>
      </c>
      <c r="E143" s="40">
        <f>E141-E142-Rückstellungen!D53-Rückstellungen!Q53-Rückstellungen!AD53</f>
        <v/>
      </c>
      <c r="F143" s="40">
        <f>F141-F142-Rückstellungen!E53-Rückstellungen!R53-Rückstellungen!AE53</f>
        <v/>
      </c>
      <c r="G143" s="40">
        <f>G141-G142-Rückstellungen!F53-Rückstellungen!S53-Rückstellungen!AF53</f>
        <v/>
      </c>
      <c r="H143" s="40">
        <f>H141-H142-Rückstellungen!G53-Rückstellungen!T53-Rückstellungen!AG53</f>
        <v/>
      </c>
      <c r="I143" s="40">
        <f>I141-I142-Rückstellungen!H53-Rückstellungen!U53-Rückstellungen!AH53</f>
        <v/>
      </c>
      <c r="J143" s="40">
        <f>J141-J142-Rückstellungen!I53-Rückstellungen!V53-Rückstellungen!AI53</f>
        <v/>
      </c>
      <c r="K143" s="40">
        <f>K141-K142-Rückstellungen!J53-Rückstellungen!W53-Rückstellungen!AJ53</f>
        <v/>
      </c>
      <c r="L143" s="40">
        <f>L141-L142-Rückstellungen!K53-Rückstellungen!X53-Rückstellungen!AK53</f>
        <v/>
      </c>
      <c r="M143" s="40">
        <f>M141-M142-Rückstellungen!L53-Rückstellungen!Y53-Rückstellungen!AL53</f>
        <v/>
      </c>
      <c r="N143" s="40">
        <f>N141-N142-Rückstellungen!M53-Rückstellungen!Z53-Rückstellungen!AM53</f>
        <v/>
      </c>
      <c r="O143" s="40">
        <f>O141-O142-Rückstellungen!N53-Rückstellungen!AA53-Rückstellungen!AN53</f>
        <v/>
      </c>
      <c r="P143" s="40">
        <f>P141-P142-Rückstellungen!O53-Rückstellungen!AB53-Rückstellungen!AO53</f>
        <v/>
      </c>
      <c r="Q143" s="59">
        <f>SUM(E143:P143)</f>
        <v/>
      </c>
      <c r="R143" s="126">
        <f>IFERROR(Q143/Q141,0)</f>
        <v/>
      </c>
    </row>
    <row r="144">
      <c r="A144" s="89">
        <f>Stammdaten!A54</f>
        <v/>
      </c>
      <c r="B144" s="67">
        <f>Stammdaten!B54</f>
        <v/>
      </c>
      <c r="C144" s="67">
        <f>Stammdaten!C54</f>
        <v/>
      </c>
      <c r="D144" s="123" t="inlineStr">
        <is>
          <t>Verrechnung</t>
        </is>
      </c>
      <c r="E144" s="58" t="n">
        <v>3813.53</v>
      </c>
      <c r="F144" s="58" t="n">
        <v>3719.87</v>
      </c>
      <c r="G144" s="58" t="n">
        <v>3659.95</v>
      </c>
      <c r="H144" s="58" t="n">
        <v>3759.41</v>
      </c>
      <c r="I144" s="58" t="n">
        <v>3915.51</v>
      </c>
      <c r="J144" s="58" t="n">
        <v>3761.48</v>
      </c>
      <c r="K144" s="58" t="n">
        <v>3126.5</v>
      </c>
      <c r="L144" s="58" t="n">
        <v>3833.15</v>
      </c>
      <c r="M144" s="58" t="n">
        <v>3706.94</v>
      </c>
      <c r="N144" s="58" t="n">
        <v>3941.95</v>
      </c>
      <c r="O144" s="58" t="n">
        <v>3942.62</v>
      </c>
      <c r="P144" s="58" t="n">
        <v>3391.33</v>
      </c>
      <c r="Q144" s="28">
        <f>SUM(E144:P144)</f>
        <v/>
      </c>
    </row>
    <row r="145">
      <c r="A145" s="89">
        <f>Stammdaten!A54</f>
        <v/>
      </c>
      <c r="B145" s="67">
        <f>Stammdaten!B54</f>
        <v/>
      </c>
      <c r="C145" s="67">
        <f>Stammdaten!C54</f>
        <v/>
      </c>
      <c r="D145" s="124" t="inlineStr">
        <is>
          <t>Selbstkosten</t>
        </is>
      </c>
      <c r="E145" s="58" t="n">
        <v>1917.17</v>
      </c>
      <c r="F145" s="58" t="n">
        <v>1862.45</v>
      </c>
      <c r="G145" s="58" t="n">
        <v>1847.89</v>
      </c>
      <c r="H145" s="58" t="n">
        <v>1909.49</v>
      </c>
      <c r="I145" s="58" t="n">
        <v>1921.89</v>
      </c>
      <c r="J145" s="58" t="n">
        <v>1919.75</v>
      </c>
      <c r="K145" s="58" t="n">
        <v>1617.71</v>
      </c>
      <c r="L145" s="58" t="n">
        <v>1965.32</v>
      </c>
      <c r="M145" s="58" t="n">
        <v>1840.1</v>
      </c>
      <c r="N145" s="58" t="n">
        <v>1969.88</v>
      </c>
      <c r="O145" s="58" t="n">
        <v>1957.5</v>
      </c>
      <c r="P145" s="58" t="n">
        <v>1747.82</v>
      </c>
      <c r="Q145" s="28">
        <f>SUM(E145:P145)</f>
        <v/>
      </c>
    </row>
    <row r="146">
      <c r="A146" s="89">
        <f>Stammdaten!A54</f>
        <v/>
      </c>
      <c r="B146" s="67">
        <f>Stammdaten!B54</f>
        <v/>
      </c>
      <c r="C146" s="67">
        <f>Stammdaten!C54</f>
        <v/>
      </c>
      <c r="D146" s="125" t="inlineStr">
        <is>
          <t>DB1</t>
        </is>
      </c>
      <c r="E146" s="40">
        <f>E144-E145-Rückstellungen!D54-Rückstellungen!Q54-Rückstellungen!AD54</f>
        <v/>
      </c>
      <c r="F146" s="40">
        <f>F144-F145-Rückstellungen!E54-Rückstellungen!R54-Rückstellungen!AE54</f>
        <v/>
      </c>
      <c r="G146" s="40">
        <f>G144-G145-Rückstellungen!F54-Rückstellungen!S54-Rückstellungen!AF54</f>
        <v/>
      </c>
      <c r="H146" s="40">
        <f>H144-H145-Rückstellungen!G54-Rückstellungen!T54-Rückstellungen!AG54</f>
        <v/>
      </c>
      <c r="I146" s="40">
        <f>I144-I145-Rückstellungen!H54-Rückstellungen!U54-Rückstellungen!AH54</f>
        <v/>
      </c>
      <c r="J146" s="40">
        <f>J144-J145-Rückstellungen!I54-Rückstellungen!V54-Rückstellungen!AI54</f>
        <v/>
      </c>
      <c r="K146" s="40">
        <f>K144-K145-Rückstellungen!J54-Rückstellungen!W54-Rückstellungen!AJ54</f>
        <v/>
      </c>
      <c r="L146" s="40">
        <f>L144-L145-Rückstellungen!K54-Rückstellungen!X54-Rückstellungen!AK54</f>
        <v/>
      </c>
      <c r="M146" s="40">
        <f>M144-M145-Rückstellungen!L54-Rückstellungen!Y54-Rückstellungen!AL54</f>
        <v/>
      </c>
      <c r="N146" s="40">
        <f>N144-N145-Rückstellungen!M54-Rückstellungen!Z54-Rückstellungen!AM54</f>
        <v/>
      </c>
      <c r="O146" s="40">
        <f>O144-O145-Rückstellungen!N54-Rückstellungen!AA54-Rückstellungen!AN54</f>
        <v/>
      </c>
      <c r="P146" s="40">
        <f>P144-P145-Rückstellungen!O54-Rückstellungen!AB54-Rückstellungen!AO54</f>
        <v/>
      </c>
      <c r="Q146" s="59">
        <f>SUM(E146:P146)</f>
        <v/>
      </c>
      <c r="R146" s="126">
        <f>IFERROR(Q146/Q144,0)</f>
        <v/>
      </c>
    </row>
    <row r="147">
      <c r="A147" s="89">
        <f>Stammdaten!A55</f>
        <v/>
      </c>
      <c r="B147" s="67">
        <f>Stammdaten!B55</f>
        <v/>
      </c>
      <c r="C147" s="67">
        <f>Stammdaten!C55</f>
        <v/>
      </c>
      <c r="D147" s="123" t="inlineStr">
        <is>
          <t>Verrechnung</t>
        </is>
      </c>
      <c r="E147" s="58" t="n">
        <v>6154.22</v>
      </c>
      <c r="F147" s="58" t="n">
        <v>5902.84</v>
      </c>
      <c r="G147" s="58" t="n">
        <v>5926.51</v>
      </c>
      <c r="H147" s="58" t="n">
        <v>6124.42</v>
      </c>
      <c r="I147" s="58" t="n">
        <v>5967.96</v>
      </c>
      <c r="J147" s="58" t="n">
        <v>6025.53</v>
      </c>
      <c r="K147" s="58" t="n">
        <v>5793.93</v>
      </c>
      <c r="L147" s="58" t="n">
        <v>5883.25</v>
      </c>
      <c r="M147" s="58" t="n">
        <v>5798.05</v>
      </c>
      <c r="N147" s="58" t="n">
        <v>6174.5</v>
      </c>
      <c r="O147" s="58" t="n">
        <v>6072.78</v>
      </c>
      <c r="P147" s="58" t="n">
        <v>5555.74</v>
      </c>
      <c r="Q147" s="28">
        <f>SUM(E147:P147)</f>
        <v/>
      </c>
    </row>
    <row r="148">
      <c r="A148" s="89">
        <f>Stammdaten!A55</f>
        <v/>
      </c>
      <c r="B148" s="67">
        <f>Stammdaten!B55</f>
        <v/>
      </c>
      <c r="C148" s="67">
        <f>Stammdaten!C55</f>
        <v/>
      </c>
      <c r="D148" s="124" t="inlineStr">
        <is>
          <t>Selbstkosten</t>
        </is>
      </c>
      <c r="E148" s="58" t="n">
        <v>3318.5</v>
      </c>
      <c r="F148" s="58" t="n">
        <v>3166.2</v>
      </c>
      <c r="G148" s="58" t="n">
        <v>3211.32</v>
      </c>
      <c r="H148" s="58" t="n">
        <v>3281.99</v>
      </c>
      <c r="I148" s="58" t="n">
        <v>3327.83</v>
      </c>
      <c r="J148" s="58" t="n">
        <v>3341.69</v>
      </c>
      <c r="K148" s="58" t="n">
        <v>3107.47</v>
      </c>
      <c r="L148" s="58" t="n">
        <v>3153.75</v>
      </c>
      <c r="M148" s="58" t="n">
        <v>3228.97</v>
      </c>
      <c r="N148" s="58" t="n">
        <v>3240.58</v>
      </c>
      <c r="O148" s="58" t="n">
        <v>3317.64</v>
      </c>
      <c r="P148" s="58" t="n">
        <v>2953.66</v>
      </c>
      <c r="Q148" s="28">
        <f>SUM(E148:P148)</f>
        <v/>
      </c>
    </row>
    <row r="149">
      <c r="A149" s="89">
        <f>Stammdaten!A55</f>
        <v/>
      </c>
      <c r="B149" s="67">
        <f>Stammdaten!B55</f>
        <v/>
      </c>
      <c r="C149" s="67">
        <f>Stammdaten!C55</f>
        <v/>
      </c>
      <c r="D149" s="125" t="inlineStr">
        <is>
          <t>DB1</t>
        </is>
      </c>
      <c r="E149" s="40">
        <f>E147-E148-Rückstellungen!D55-Rückstellungen!Q55-Rückstellungen!AD55</f>
        <v/>
      </c>
      <c r="F149" s="40">
        <f>F147-F148-Rückstellungen!E55-Rückstellungen!R55-Rückstellungen!AE55</f>
        <v/>
      </c>
      <c r="G149" s="40">
        <f>G147-G148-Rückstellungen!F55-Rückstellungen!S55-Rückstellungen!AF55</f>
        <v/>
      </c>
      <c r="H149" s="40">
        <f>H147-H148-Rückstellungen!G55-Rückstellungen!T55-Rückstellungen!AG55</f>
        <v/>
      </c>
      <c r="I149" s="40">
        <f>I147-I148-Rückstellungen!H55-Rückstellungen!U55-Rückstellungen!AH55</f>
        <v/>
      </c>
      <c r="J149" s="40">
        <f>J147-J148-Rückstellungen!I55-Rückstellungen!V55-Rückstellungen!AI55</f>
        <v/>
      </c>
      <c r="K149" s="40">
        <f>K147-K148-Rückstellungen!J55-Rückstellungen!W55-Rückstellungen!AJ55</f>
        <v/>
      </c>
      <c r="L149" s="40">
        <f>L147-L148-Rückstellungen!K55-Rückstellungen!X55-Rückstellungen!AK55</f>
        <v/>
      </c>
      <c r="M149" s="40">
        <f>M147-M148-Rückstellungen!L55-Rückstellungen!Y55-Rückstellungen!AL55</f>
        <v/>
      </c>
      <c r="N149" s="40">
        <f>N147-N148-Rückstellungen!M55-Rückstellungen!Z55-Rückstellungen!AM55</f>
        <v/>
      </c>
      <c r="O149" s="40">
        <f>O147-O148-Rückstellungen!N55-Rückstellungen!AA55-Rückstellungen!AN55</f>
        <v/>
      </c>
      <c r="P149" s="40">
        <f>P147-P148-Rückstellungen!O55-Rückstellungen!AB55-Rückstellungen!AO55</f>
        <v/>
      </c>
      <c r="Q149" s="59">
        <f>SUM(E149:P149)</f>
        <v/>
      </c>
      <c r="R149" s="126">
        <f>IFERROR(Q149/Q147,0)</f>
        <v/>
      </c>
    </row>
    <row r="150">
      <c r="A150" s="89">
        <f>Stammdaten!A56</f>
        <v/>
      </c>
      <c r="B150" s="67">
        <f>Stammdaten!B56</f>
        <v/>
      </c>
      <c r="C150" s="67">
        <f>Stammdaten!C56</f>
        <v/>
      </c>
      <c r="D150" s="123" t="inlineStr">
        <is>
          <t>Verrechnung</t>
        </is>
      </c>
      <c r="E150" s="58" t="n">
        <v>4377.5</v>
      </c>
      <c r="F150" s="58" t="n">
        <v>4294.35</v>
      </c>
      <c r="G150" s="58" t="n">
        <v>4353.3</v>
      </c>
      <c r="H150" s="58" t="n">
        <v>4451.24</v>
      </c>
      <c r="I150" s="58" t="n">
        <v>4448.58</v>
      </c>
      <c r="J150" s="58" t="n">
        <v>4217.24</v>
      </c>
      <c r="K150" s="58" t="n">
        <v>3932.83</v>
      </c>
      <c r="L150" s="58" t="n">
        <v>4536.17</v>
      </c>
      <c r="M150" s="58" t="n">
        <v>4490.06</v>
      </c>
      <c r="N150" s="58" t="n">
        <v>4481.84</v>
      </c>
      <c r="O150" s="58" t="n">
        <v>4165.11</v>
      </c>
      <c r="P150" s="58" t="n">
        <v>3877.82</v>
      </c>
      <c r="Q150" s="28">
        <f>SUM(E150:P150)</f>
        <v/>
      </c>
    </row>
    <row r="151">
      <c r="A151" s="89">
        <f>Stammdaten!A56</f>
        <v/>
      </c>
      <c r="B151" s="67">
        <f>Stammdaten!B56</f>
        <v/>
      </c>
      <c r="C151" s="67">
        <f>Stammdaten!C56</f>
        <v/>
      </c>
      <c r="D151" s="124" t="inlineStr">
        <is>
          <t>Selbstkosten</t>
        </is>
      </c>
      <c r="E151" s="58" t="n">
        <v>2185.75</v>
      </c>
      <c r="F151" s="58" t="n">
        <v>2118.14</v>
      </c>
      <c r="G151" s="58" t="n">
        <v>2141.37</v>
      </c>
      <c r="H151" s="58" t="n">
        <v>2150.1</v>
      </c>
      <c r="I151" s="58" t="n">
        <v>2132.5</v>
      </c>
      <c r="J151" s="58" t="n">
        <v>2049.26</v>
      </c>
      <c r="K151" s="58" t="n">
        <v>1969.94</v>
      </c>
      <c r="L151" s="58" t="n">
        <v>2200.78</v>
      </c>
      <c r="M151" s="58" t="n">
        <v>2110.3</v>
      </c>
      <c r="N151" s="58" t="n">
        <v>2102.53</v>
      </c>
      <c r="O151" s="58" t="n">
        <v>1966.45</v>
      </c>
      <c r="P151" s="58" t="n">
        <v>1832.59</v>
      </c>
      <c r="Q151" s="28">
        <f>SUM(E151:P151)</f>
        <v/>
      </c>
    </row>
    <row r="152">
      <c r="A152" s="89">
        <f>Stammdaten!A56</f>
        <v/>
      </c>
      <c r="B152" s="67">
        <f>Stammdaten!B56</f>
        <v/>
      </c>
      <c r="C152" s="67">
        <f>Stammdaten!C56</f>
        <v/>
      </c>
      <c r="D152" s="125" t="inlineStr">
        <is>
          <t>DB1</t>
        </is>
      </c>
      <c r="E152" s="40">
        <f>E150-E151-Rückstellungen!D56-Rückstellungen!Q56-Rückstellungen!AD56</f>
        <v/>
      </c>
      <c r="F152" s="40">
        <f>F150-F151-Rückstellungen!E56-Rückstellungen!R56-Rückstellungen!AE56</f>
        <v/>
      </c>
      <c r="G152" s="40">
        <f>G150-G151-Rückstellungen!F56-Rückstellungen!S56-Rückstellungen!AF56</f>
        <v/>
      </c>
      <c r="H152" s="40">
        <f>H150-H151-Rückstellungen!G56-Rückstellungen!T56-Rückstellungen!AG56</f>
        <v/>
      </c>
      <c r="I152" s="40">
        <f>I150-I151-Rückstellungen!H56-Rückstellungen!U56-Rückstellungen!AH56</f>
        <v/>
      </c>
      <c r="J152" s="40">
        <f>J150-J151-Rückstellungen!I56-Rückstellungen!V56-Rückstellungen!AI56</f>
        <v/>
      </c>
      <c r="K152" s="40">
        <f>K150-K151-Rückstellungen!J56-Rückstellungen!W56-Rückstellungen!AJ56</f>
        <v/>
      </c>
      <c r="L152" s="40">
        <f>L150-L151-Rückstellungen!K56-Rückstellungen!X56-Rückstellungen!AK56</f>
        <v/>
      </c>
      <c r="M152" s="40">
        <f>M150-M151-Rückstellungen!L56-Rückstellungen!Y56-Rückstellungen!AL56</f>
        <v/>
      </c>
      <c r="N152" s="40">
        <f>N150-N151-Rückstellungen!M56-Rückstellungen!Z56-Rückstellungen!AM56</f>
        <v/>
      </c>
      <c r="O152" s="40">
        <f>O150-O151-Rückstellungen!N56-Rückstellungen!AA56-Rückstellungen!AN56</f>
        <v/>
      </c>
      <c r="P152" s="40">
        <f>P150-P151-Rückstellungen!O56-Rückstellungen!AB56-Rückstellungen!AO56</f>
        <v/>
      </c>
      <c r="Q152" s="59">
        <f>SUM(E152:P152)</f>
        <v/>
      </c>
      <c r="R152" s="126">
        <f>IFERROR(Q152/Q150,0)</f>
        <v/>
      </c>
    </row>
    <row r="153">
      <c r="A153" s="89">
        <f>Stammdaten!A57</f>
        <v/>
      </c>
      <c r="B153" s="67">
        <f>Stammdaten!B57</f>
        <v/>
      </c>
      <c r="C153" s="67">
        <f>Stammdaten!C57</f>
        <v/>
      </c>
      <c r="D153" s="123" t="inlineStr">
        <is>
          <t>Verrechnung</t>
        </is>
      </c>
      <c r="E153" s="58" t="n">
        <v>4374.7</v>
      </c>
      <c r="F153" s="58" t="n">
        <v>4481.13</v>
      </c>
      <c r="G153" s="58" t="n">
        <v>4133.99</v>
      </c>
      <c r="H153" s="58" t="n">
        <v>4287.09</v>
      </c>
      <c r="I153" s="58" t="n">
        <v>4407.39</v>
      </c>
      <c r="J153" s="58" t="n">
        <v>4238.85</v>
      </c>
      <c r="K153" s="58" t="n">
        <v>4009.99</v>
      </c>
      <c r="L153" s="58" t="n">
        <v>4197.28</v>
      </c>
      <c r="M153" s="58" t="n">
        <v>4330.84</v>
      </c>
      <c r="N153" s="58" t="n">
        <v>4367.76</v>
      </c>
      <c r="O153" s="58" t="n">
        <v>4265.07</v>
      </c>
      <c r="P153" s="58" t="n">
        <v>3866.94</v>
      </c>
      <c r="Q153" s="28">
        <f>SUM(E153:P153)</f>
        <v/>
      </c>
    </row>
    <row r="154">
      <c r="A154" s="89">
        <f>Stammdaten!A57</f>
        <v/>
      </c>
      <c r="B154" s="67">
        <f>Stammdaten!B57</f>
        <v/>
      </c>
      <c r="C154" s="67">
        <f>Stammdaten!C57</f>
        <v/>
      </c>
      <c r="D154" s="124" t="inlineStr">
        <is>
          <t>Selbstkosten</t>
        </is>
      </c>
      <c r="E154" s="58" t="n">
        <v>2073.85</v>
      </c>
      <c r="F154" s="58" t="n">
        <v>2084.86</v>
      </c>
      <c r="G154" s="58" t="n">
        <v>1906.52</v>
      </c>
      <c r="H154" s="58" t="n">
        <v>1906.29</v>
      </c>
      <c r="I154" s="58" t="n">
        <v>2033.1</v>
      </c>
      <c r="J154" s="58" t="n">
        <v>1950.8</v>
      </c>
      <c r="K154" s="58" t="n">
        <v>1901.7</v>
      </c>
      <c r="L154" s="58" t="n">
        <v>1987.61</v>
      </c>
      <c r="M154" s="58" t="n">
        <v>1956.87</v>
      </c>
      <c r="N154" s="58" t="n">
        <v>1975.16</v>
      </c>
      <c r="O154" s="58" t="n">
        <v>2002.88</v>
      </c>
      <c r="P154" s="58" t="n">
        <v>1774.28</v>
      </c>
      <c r="Q154" s="28">
        <f>SUM(E154:P154)</f>
        <v/>
      </c>
    </row>
    <row r="155">
      <c r="A155" s="89">
        <f>Stammdaten!A57</f>
        <v/>
      </c>
      <c r="B155" s="67">
        <f>Stammdaten!B57</f>
        <v/>
      </c>
      <c r="C155" s="67">
        <f>Stammdaten!C57</f>
        <v/>
      </c>
      <c r="D155" s="125" t="inlineStr">
        <is>
          <t>DB1</t>
        </is>
      </c>
      <c r="E155" s="40">
        <f>E153-E154-Rückstellungen!D57-Rückstellungen!Q57-Rückstellungen!AD57</f>
        <v/>
      </c>
      <c r="F155" s="40">
        <f>F153-F154-Rückstellungen!E57-Rückstellungen!R57-Rückstellungen!AE57</f>
        <v/>
      </c>
      <c r="G155" s="40">
        <f>G153-G154-Rückstellungen!F57-Rückstellungen!S57-Rückstellungen!AF57</f>
        <v/>
      </c>
      <c r="H155" s="40">
        <f>H153-H154-Rückstellungen!G57-Rückstellungen!T57-Rückstellungen!AG57</f>
        <v/>
      </c>
      <c r="I155" s="40">
        <f>I153-I154-Rückstellungen!H57-Rückstellungen!U57-Rückstellungen!AH57</f>
        <v/>
      </c>
      <c r="J155" s="40">
        <f>J153-J154-Rückstellungen!I57-Rückstellungen!V57-Rückstellungen!AI57</f>
        <v/>
      </c>
      <c r="K155" s="40">
        <f>K153-K154-Rückstellungen!J57-Rückstellungen!W57-Rückstellungen!AJ57</f>
        <v/>
      </c>
      <c r="L155" s="40">
        <f>L153-L154-Rückstellungen!K57-Rückstellungen!X57-Rückstellungen!AK57</f>
        <v/>
      </c>
      <c r="M155" s="40">
        <f>M153-M154-Rückstellungen!L57-Rückstellungen!Y57-Rückstellungen!AL57</f>
        <v/>
      </c>
      <c r="N155" s="40">
        <f>N153-N154-Rückstellungen!M57-Rückstellungen!Z57-Rückstellungen!AM57</f>
        <v/>
      </c>
      <c r="O155" s="40">
        <f>O153-O154-Rückstellungen!N57-Rückstellungen!AA57-Rückstellungen!AN57</f>
        <v/>
      </c>
      <c r="P155" s="40">
        <f>P153-P154-Rückstellungen!O57-Rückstellungen!AB57-Rückstellungen!AO57</f>
        <v/>
      </c>
      <c r="Q155" s="59">
        <f>SUM(E155:P155)</f>
        <v/>
      </c>
      <c r="R155" s="126">
        <f>IFERROR(Q155/Q153,0)</f>
        <v/>
      </c>
    </row>
    <row r="156">
      <c r="A156" s="89">
        <f>Stammdaten!A58</f>
        <v/>
      </c>
      <c r="B156" s="67">
        <f>Stammdaten!B58</f>
        <v/>
      </c>
      <c r="C156" s="67">
        <f>Stammdaten!C58</f>
        <v/>
      </c>
      <c r="D156" s="123" t="inlineStr">
        <is>
          <t>Verrechnung</t>
        </is>
      </c>
      <c r="E156" s="58" t="n">
        <v>4529.43</v>
      </c>
      <c r="F156" s="58" t="n">
        <v>4593.9</v>
      </c>
      <c r="G156" s="58" t="n">
        <v>4215.62</v>
      </c>
      <c r="H156" s="58" t="n">
        <v>4351.76</v>
      </c>
      <c r="I156" s="58" t="n">
        <v>4454.04</v>
      </c>
      <c r="J156" s="58" t="n">
        <v>4235.72</v>
      </c>
      <c r="K156" s="58" t="n">
        <v>4019</v>
      </c>
      <c r="L156" s="58" t="n">
        <v>4586.87</v>
      </c>
      <c r="M156" s="58" t="n">
        <v>4565.32</v>
      </c>
      <c r="N156" s="58" t="n">
        <v>4558.28</v>
      </c>
      <c r="O156" s="58" t="n">
        <v>4426.47</v>
      </c>
      <c r="P156" s="58" t="n">
        <v>4297.94</v>
      </c>
      <c r="Q156" s="28">
        <f>SUM(E156:P156)</f>
        <v/>
      </c>
    </row>
    <row r="157">
      <c r="A157" s="89">
        <f>Stammdaten!A58</f>
        <v/>
      </c>
      <c r="B157" s="67">
        <f>Stammdaten!B58</f>
        <v/>
      </c>
      <c r="C157" s="67">
        <f>Stammdaten!C58</f>
        <v/>
      </c>
      <c r="D157" s="124" t="inlineStr">
        <is>
          <t>Selbstkosten</t>
        </is>
      </c>
      <c r="E157" s="58" t="n">
        <v>2160.93</v>
      </c>
      <c r="F157" s="58" t="n">
        <v>2281.2</v>
      </c>
      <c r="G157" s="58" t="n">
        <v>2058.06</v>
      </c>
      <c r="H157" s="58" t="n">
        <v>2135.06</v>
      </c>
      <c r="I157" s="58" t="n">
        <v>2219.83</v>
      </c>
      <c r="J157" s="58" t="n">
        <v>2131.68</v>
      </c>
      <c r="K157" s="58" t="n">
        <v>2040.77</v>
      </c>
      <c r="L157" s="58" t="n">
        <v>2316.16</v>
      </c>
      <c r="M157" s="58" t="n">
        <v>2201.36</v>
      </c>
      <c r="N157" s="58" t="n">
        <v>2270.13</v>
      </c>
      <c r="O157" s="58" t="n">
        <v>2140.67</v>
      </c>
      <c r="P157" s="58" t="n">
        <v>2079.87</v>
      </c>
      <c r="Q157" s="28">
        <f>SUM(E157:P157)</f>
        <v/>
      </c>
    </row>
    <row r="158">
      <c r="A158" s="89">
        <f>Stammdaten!A58</f>
        <v/>
      </c>
      <c r="B158" s="67">
        <f>Stammdaten!B58</f>
        <v/>
      </c>
      <c r="C158" s="67">
        <f>Stammdaten!C58</f>
        <v/>
      </c>
      <c r="D158" s="125" t="inlineStr">
        <is>
          <t>DB1</t>
        </is>
      </c>
      <c r="E158" s="40">
        <f>E156-E157-Rückstellungen!D58-Rückstellungen!Q58-Rückstellungen!AD58</f>
        <v/>
      </c>
      <c r="F158" s="40">
        <f>F156-F157-Rückstellungen!E58-Rückstellungen!R58-Rückstellungen!AE58</f>
        <v/>
      </c>
      <c r="G158" s="40">
        <f>G156-G157-Rückstellungen!F58-Rückstellungen!S58-Rückstellungen!AF58</f>
        <v/>
      </c>
      <c r="H158" s="40">
        <f>H156-H157-Rückstellungen!G58-Rückstellungen!T58-Rückstellungen!AG58</f>
        <v/>
      </c>
      <c r="I158" s="40">
        <f>I156-I157-Rückstellungen!H58-Rückstellungen!U58-Rückstellungen!AH58</f>
        <v/>
      </c>
      <c r="J158" s="40">
        <f>J156-J157-Rückstellungen!I58-Rückstellungen!V58-Rückstellungen!AI58</f>
        <v/>
      </c>
      <c r="K158" s="40">
        <f>K156-K157-Rückstellungen!J58-Rückstellungen!W58-Rückstellungen!AJ58</f>
        <v/>
      </c>
      <c r="L158" s="40">
        <f>L156-L157-Rückstellungen!K58-Rückstellungen!X58-Rückstellungen!AK58</f>
        <v/>
      </c>
      <c r="M158" s="40">
        <f>M156-M157-Rückstellungen!L58-Rückstellungen!Y58-Rückstellungen!AL58</f>
        <v/>
      </c>
      <c r="N158" s="40">
        <f>N156-N157-Rückstellungen!M58-Rückstellungen!Z58-Rückstellungen!AM58</f>
        <v/>
      </c>
      <c r="O158" s="40">
        <f>O156-O157-Rückstellungen!N58-Rückstellungen!AA58-Rückstellungen!AN58</f>
        <v/>
      </c>
      <c r="P158" s="40">
        <f>P156-P157-Rückstellungen!O58-Rückstellungen!AB58-Rückstellungen!AO58</f>
        <v/>
      </c>
      <c r="Q158" s="59">
        <f>SUM(E158:P158)</f>
        <v/>
      </c>
      <c r="R158" s="126">
        <f>IFERROR(Q158/Q156,0)</f>
        <v/>
      </c>
    </row>
    <row r="159">
      <c r="A159" s="91">
        <f>Stammdaten!A59</f>
        <v/>
      </c>
      <c r="B159" s="73">
        <f>Stammdaten!B59</f>
        <v/>
      </c>
      <c r="C159" s="73">
        <f>Stammdaten!C59</f>
        <v/>
      </c>
      <c r="D159" s="127" t="inlineStr">
        <is>
          <t>Verrechnung</t>
        </is>
      </c>
      <c r="E159" s="58" t="n">
        <v>5532.73</v>
      </c>
      <c r="F159" s="58" t="n">
        <v>5223.71</v>
      </c>
      <c r="G159" s="58" t="n">
        <v>5518.44</v>
      </c>
      <c r="H159" s="58" t="n">
        <v>5570.42</v>
      </c>
      <c r="I159" s="58" t="n">
        <v>5395.11</v>
      </c>
      <c r="J159" s="58" t="n">
        <v>5532.26</v>
      </c>
      <c r="K159" s="58" t="n">
        <v>4856.65</v>
      </c>
      <c r="L159" s="58" t="n">
        <v>5503.94</v>
      </c>
      <c r="M159" s="58" t="n">
        <v>5161.87</v>
      </c>
      <c r="N159" s="58" t="n">
        <v>5290.34</v>
      </c>
      <c r="O159" s="58" t="n">
        <v>5235.71</v>
      </c>
      <c r="P159" s="58" t="n">
        <v>4999.76</v>
      </c>
      <c r="Q159" s="28">
        <f>SUM(E159:P159)</f>
        <v/>
      </c>
    </row>
    <row r="160">
      <c r="A160" s="91">
        <f>Stammdaten!A59</f>
        <v/>
      </c>
      <c r="B160" s="73">
        <f>Stammdaten!B59</f>
        <v/>
      </c>
      <c r="C160" s="73">
        <f>Stammdaten!C59</f>
        <v/>
      </c>
      <c r="D160" s="128" t="inlineStr">
        <is>
          <t>Selbstkosten</t>
        </is>
      </c>
      <c r="E160" s="58" t="n">
        <v>2543.04</v>
      </c>
      <c r="F160" s="58" t="n">
        <v>2423.25</v>
      </c>
      <c r="G160" s="58" t="n">
        <v>2683.7</v>
      </c>
      <c r="H160" s="58" t="n">
        <v>2612.7</v>
      </c>
      <c r="I160" s="58" t="n">
        <v>2578.28</v>
      </c>
      <c r="J160" s="58" t="n">
        <v>2664.05</v>
      </c>
      <c r="K160" s="58" t="n">
        <v>2348.8</v>
      </c>
      <c r="L160" s="58" t="n">
        <v>2652.65</v>
      </c>
      <c r="M160" s="58" t="n">
        <v>2497.39</v>
      </c>
      <c r="N160" s="58" t="n">
        <v>2446</v>
      </c>
      <c r="O160" s="58" t="n">
        <v>2416.99</v>
      </c>
      <c r="P160" s="58" t="n">
        <v>2394.14</v>
      </c>
      <c r="Q160" s="28">
        <f>SUM(E160:P160)</f>
        <v/>
      </c>
    </row>
    <row r="161">
      <c r="A161" s="129">
        <f>Stammdaten!A59</f>
        <v/>
      </c>
      <c r="B161" s="130">
        <f>Stammdaten!B59</f>
        <v/>
      </c>
      <c r="C161" s="130">
        <f>Stammdaten!C59</f>
        <v/>
      </c>
      <c r="D161" s="131" t="inlineStr">
        <is>
          <t>DB1</t>
        </is>
      </c>
      <c r="E161" s="132">
        <f>E159-E160-Rückstellungen!D59-Rückstellungen!Q59-Rückstellungen!AD59</f>
        <v/>
      </c>
      <c r="F161" s="132">
        <f>F159-F160-Rückstellungen!E59-Rückstellungen!R59-Rückstellungen!AE59</f>
        <v/>
      </c>
      <c r="G161" s="132">
        <f>G159-G160-Rückstellungen!F59-Rückstellungen!S59-Rückstellungen!AF59</f>
        <v/>
      </c>
      <c r="H161" s="132">
        <f>H159-H160-Rückstellungen!G59-Rückstellungen!T59-Rückstellungen!AG59</f>
        <v/>
      </c>
      <c r="I161" s="132">
        <f>I159-I160-Rückstellungen!H59-Rückstellungen!U59-Rückstellungen!AH59</f>
        <v/>
      </c>
      <c r="J161" s="132">
        <f>J159-J160-Rückstellungen!I59-Rückstellungen!V59-Rückstellungen!AI59</f>
        <v/>
      </c>
      <c r="K161" s="132">
        <f>K159-K160-Rückstellungen!J59-Rückstellungen!W59-Rückstellungen!AJ59</f>
        <v/>
      </c>
      <c r="L161" s="132">
        <f>L159-L160-Rückstellungen!K59-Rückstellungen!X59-Rückstellungen!AK59</f>
        <v/>
      </c>
      <c r="M161" s="132">
        <f>M159-M160-Rückstellungen!L59-Rückstellungen!Y59-Rückstellungen!AL59</f>
        <v/>
      </c>
      <c r="N161" s="132">
        <f>N159-N160-Rückstellungen!M59-Rückstellungen!Z59-Rückstellungen!AM59</f>
        <v/>
      </c>
      <c r="O161" s="132">
        <f>O159-O160-Rückstellungen!N59-Rückstellungen!AA59-Rückstellungen!AN59</f>
        <v/>
      </c>
      <c r="P161" s="132">
        <f>P159-P160-Rückstellungen!O59-Rückstellungen!AB59-Rückstellungen!AO59</f>
        <v/>
      </c>
      <c r="Q161" s="133">
        <f>SUM(E161:P161)</f>
        <v/>
      </c>
      <c r="R161" s="134">
        <f>IFERROR(Q161/Q159,0)</f>
        <v/>
      </c>
    </row>
    <row r="162">
      <c r="A162" s="91">
        <f>Stammdaten!A60</f>
        <v/>
      </c>
      <c r="B162" s="73">
        <f>Stammdaten!B60</f>
        <v/>
      </c>
      <c r="C162" s="73">
        <f>Stammdaten!C60</f>
        <v/>
      </c>
      <c r="D162" s="127" t="inlineStr">
        <is>
          <t>Verrechnung</t>
        </is>
      </c>
      <c r="E162" s="58" t="n">
        <v>6905.04</v>
      </c>
      <c r="F162" s="58" t="n">
        <v>6570.1</v>
      </c>
      <c r="G162" s="58" t="n">
        <v>6658.92</v>
      </c>
      <c r="H162" s="58" t="n">
        <v>6785.84</v>
      </c>
      <c r="I162" s="58" t="n">
        <v>6898.18</v>
      </c>
      <c r="J162" s="58" t="n">
        <v>6581.15</v>
      </c>
      <c r="K162" s="58" t="n">
        <v>5876.65</v>
      </c>
      <c r="L162" s="58" t="n">
        <v>6525.56</v>
      </c>
      <c r="M162" s="58" t="n">
        <v>6650.04</v>
      </c>
      <c r="N162" s="58" t="n">
        <v>7001.18</v>
      </c>
      <c r="O162" s="58" t="n">
        <v>6891.65</v>
      </c>
      <c r="P162" s="58" t="n">
        <v>5758.67</v>
      </c>
      <c r="Q162" s="28">
        <f>SUM(E162:P162)</f>
        <v/>
      </c>
    </row>
    <row r="163">
      <c r="A163" s="91">
        <f>Stammdaten!A60</f>
        <v/>
      </c>
      <c r="B163" s="73">
        <f>Stammdaten!B60</f>
        <v/>
      </c>
      <c r="C163" s="73">
        <f>Stammdaten!C60</f>
        <v/>
      </c>
      <c r="D163" s="128" t="inlineStr">
        <is>
          <t>Selbstkosten</t>
        </is>
      </c>
      <c r="E163" s="58" t="n">
        <v>3682.15</v>
      </c>
      <c r="F163" s="58" t="n">
        <v>3528.64</v>
      </c>
      <c r="G163" s="58" t="n">
        <v>3485.18</v>
      </c>
      <c r="H163" s="58" t="n">
        <v>3600.76</v>
      </c>
      <c r="I163" s="58" t="n">
        <v>3638.6</v>
      </c>
      <c r="J163" s="58" t="n">
        <v>3416.95</v>
      </c>
      <c r="K163" s="58" t="n">
        <v>3206.76</v>
      </c>
      <c r="L163" s="58" t="n">
        <v>3464.97</v>
      </c>
      <c r="M163" s="58" t="n">
        <v>3457.18</v>
      </c>
      <c r="N163" s="58" t="n">
        <v>3731.9</v>
      </c>
      <c r="O163" s="58" t="n">
        <v>3585.54</v>
      </c>
      <c r="P163" s="58" t="n">
        <v>3093.68</v>
      </c>
      <c r="Q163" s="28">
        <f>SUM(E163:P163)</f>
        <v/>
      </c>
    </row>
    <row r="164">
      <c r="A164" s="91">
        <f>Stammdaten!A60</f>
        <v/>
      </c>
      <c r="B164" s="73">
        <f>Stammdaten!B60</f>
        <v/>
      </c>
      <c r="C164" s="73">
        <f>Stammdaten!C60</f>
        <v/>
      </c>
      <c r="D164" s="135" t="inlineStr">
        <is>
          <t>DB1</t>
        </is>
      </c>
      <c r="E164" s="40">
        <f>E162-E163-Rückstellungen!D60-Rückstellungen!Q60-Rückstellungen!AD60</f>
        <v/>
      </c>
      <c r="F164" s="40">
        <f>F162-F163-Rückstellungen!E60-Rückstellungen!R60-Rückstellungen!AE60</f>
        <v/>
      </c>
      <c r="G164" s="40">
        <f>G162-G163-Rückstellungen!F60-Rückstellungen!S60-Rückstellungen!AF60</f>
        <v/>
      </c>
      <c r="H164" s="40">
        <f>H162-H163-Rückstellungen!G60-Rückstellungen!T60-Rückstellungen!AG60</f>
        <v/>
      </c>
      <c r="I164" s="40">
        <f>I162-I163-Rückstellungen!H60-Rückstellungen!U60-Rückstellungen!AH60</f>
        <v/>
      </c>
      <c r="J164" s="40">
        <f>J162-J163-Rückstellungen!I60-Rückstellungen!V60-Rückstellungen!AI60</f>
        <v/>
      </c>
      <c r="K164" s="40">
        <f>K162-K163-Rückstellungen!J60-Rückstellungen!W60-Rückstellungen!AJ60</f>
        <v/>
      </c>
      <c r="L164" s="40">
        <f>L162-L163-Rückstellungen!K60-Rückstellungen!X60-Rückstellungen!AK60</f>
        <v/>
      </c>
      <c r="M164" s="40">
        <f>M162-M163-Rückstellungen!L60-Rückstellungen!Y60-Rückstellungen!AL60</f>
        <v/>
      </c>
      <c r="N164" s="40">
        <f>N162-N163-Rückstellungen!M60-Rückstellungen!Z60-Rückstellungen!AM60</f>
        <v/>
      </c>
      <c r="O164" s="40">
        <f>O162-O163-Rückstellungen!N60-Rückstellungen!AA60-Rückstellungen!AN60</f>
        <v/>
      </c>
      <c r="P164" s="40">
        <f>P162-P163-Rückstellungen!O60-Rückstellungen!AB60-Rückstellungen!AO60</f>
        <v/>
      </c>
      <c r="Q164" s="59">
        <f>SUM(E164:P164)</f>
        <v/>
      </c>
      <c r="R164" s="126">
        <f>IFERROR(Q164/Q162,0)</f>
        <v/>
      </c>
    </row>
    <row r="165">
      <c r="A165" s="91">
        <f>Stammdaten!A61</f>
        <v/>
      </c>
      <c r="B165" s="73">
        <f>Stammdaten!B61</f>
        <v/>
      </c>
      <c r="C165" s="73">
        <f>Stammdaten!C61</f>
        <v/>
      </c>
      <c r="D165" s="127" t="inlineStr">
        <is>
          <t>Verrechnung</t>
        </is>
      </c>
      <c r="E165" s="58" t="n">
        <v>5291.58</v>
      </c>
      <c r="F165" s="58" t="n">
        <v>5400.15</v>
      </c>
      <c r="G165" s="58" t="n">
        <v>5036.04</v>
      </c>
      <c r="H165" s="58" t="n">
        <v>5397.66</v>
      </c>
      <c r="I165" s="58" t="n">
        <v>5294.09</v>
      </c>
      <c r="J165" s="58" t="n">
        <v>5144.69</v>
      </c>
      <c r="K165" s="58" t="n">
        <v>4763.88</v>
      </c>
      <c r="L165" s="58" t="n">
        <v>5156.79</v>
      </c>
      <c r="M165" s="58" t="n">
        <v>5109.07</v>
      </c>
      <c r="N165" s="58" t="n">
        <v>5171.58</v>
      </c>
      <c r="O165" s="58" t="n">
        <v>5200.52</v>
      </c>
      <c r="P165" s="58" t="n">
        <v>4929.81</v>
      </c>
      <c r="Q165" s="28">
        <f>SUM(E165:P165)</f>
        <v/>
      </c>
    </row>
    <row r="166">
      <c r="A166" s="91">
        <f>Stammdaten!A61</f>
        <v/>
      </c>
      <c r="B166" s="73">
        <f>Stammdaten!B61</f>
        <v/>
      </c>
      <c r="C166" s="73">
        <f>Stammdaten!C61</f>
        <v/>
      </c>
      <c r="D166" s="128" t="inlineStr">
        <is>
          <t>Selbstkosten</t>
        </is>
      </c>
      <c r="E166" s="58" t="n">
        <v>3143.67</v>
      </c>
      <c r="F166" s="58" t="n">
        <v>3267.38</v>
      </c>
      <c r="G166" s="58" t="n">
        <v>2953.95</v>
      </c>
      <c r="H166" s="58" t="n">
        <v>3235.07</v>
      </c>
      <c r="I166" s="58" t="n">
        <v>3231.29</v>
      </c>
      <c r="J166" s="58" t="n">
        <v>3040.37</v>
      </c>
      <c r="K166" s="58" t="n">
        <v>2765.94</v>
      </c>
      <c r="L166" s="58" t="n">
        <v>2968.01</v>
      </c>
      <c r="M166" s="58" t="n">
        <v>2967.84</v>
      </c>
      <c r="N166" s="58" t="n">
        <v>3111.86</v>
      </c>
      <c r="O166" s="58" t="n">
        <v>3163.81</v>
      </c>
      <c r="P166" s="58" t="n">
        <v>2932.74</v>
      </c>
      <c r="Q166" s="28">
        <f>SUM(E166:P166)</f>
        <v/>
      </c>
    </row>
    <row r="167">
      <c r="A167" s="91">
        <f>Stammdaten!A61</f>
        <v/>
      </c>
      <c r="B167" s="73">
        <f>Stammdaten!B61</f>
        <v/>
      </c>
      <c r="C167" s="73">
        <f>Stammdaten!C61</f>
        <v/>
      </c>
      <c r="D167" s="135" t="inlineStr">
        <is>
          <t>DB1</t>
        </is>
      </c>
      <c r="E167" s="40">
        <f>E165-E166-Rückstellungen!D61-Rückstellungen!Q61-Rückstellungen!AD61</f>
        <v/>
      </c>
      <c r="F167" s="40">
        <f>F165-F166-Rückstellungen!E61-Rückstellungen!R61-Rückstellungen!AE61</f>
        <v/>
      </c>
      <c r="G167" s="40">
        <f>G165-G166-Rückstellungen!F61-Rückstellungen!S61-Rückstellungen!AF61</f>
        <v/>
      </c>
      <c r="H167" s="40">
        <f>H165-H166-Rückstellungen!G61-Rückstellungen!T61-Rückstellungen!AG61</f>
        <v/>
      </c>
      <c r="I167" s="40">
        <f>I165-I166-Rückstellungen!H61-Rückstellungen!U61-Rückstellungen!AH61</f>
        <v/>
      </c>
      <c r="J167" s="40">
        <f>J165-J166-Rückstellungen!I61-Rückstellungen!V61-Rückstellungen!AI61</f>
        <v/>
      </c>
      <c r="K167" s="40">
        <f>K165-K166-Rückstellungen!J61-Rückstellungen!W61-Rückstellungen!AJ61</f>
        <v/>
      </c>
      <c r="L167" s="40">
        <f>L165-L166-Rückstellungen!K61-Rückstellungen!X61-Rückstellungen!AK61</f>
        <v/>
      </c>
      <c r="M167" s="40">
        <f>M165-M166-Rückstellungen!L61-Rückstellungen!Y61-Rückstellungen!AL61</f>
        <v/>
      </c>
      <c r="N167" s="40">
        <f>N165-N166-Rückstellungen!M61-Rückstellungen!Z61-Rückstellungen!AM61</f>
        <v/>
      </c>
      <c r="O167" s="40">
        <f>O165-O166-Rückstellungen!N61-Rückstellungen!AA61-Rückstellungen!AN61</f>
        <v/>
      </c>
      <c r="P167" s="40">
        <f>P165-P166-Rückstellungen!O61-Rückstellungen!AB61-Rückstellungen!AO61</f>
        <v/>
      </c>
      <c r="Q167" s="59">
        <f>SUM(E167:P167)</f>
        <v/>
      </c>
      <c r="R167" s="126">
        <f>IFERROR(Q167/Q165,0)</f>
        <v/>
      </c>
    </row>
    <row r="168">
      <c r="A168" s="91">
        <f>Stammdaten!A62</f>
        <v/>
      </c>
      <c r="B168" s="73">
        <f>Stammdaten!B62</f>
        <v/>
      </c>
      <c r="C168" s="73">
        <f>Stammdaten!C62</f>
        <v/>
      </c>
      <c r="D168" s="127" t="inlineStr">
        <is>
          <t>Verrechnung</t>
        </is>
      </c>
      <c r="E168" s="58" t="n">
        <v>5042.93</v>
      </c>
      <c r="F168" s="58" t="n">
        <v>5035.73</v>
      </c>
      <c r="G168" s="58" t="n">
        <v>5063.23</v>
      </c>
      <c r="H168" s="58" t="n">
        <v>5237.97</v>
      </c>
      <c r="I168" s="58" t="n">
        <v>5133.51</v>
      </c>
      <c r="J168" s="58" t="n">
        <v>5137.53</v>
      </c>
      <c r="K168" s="58" t="n">
        <v>4486.16</v>
      </c>
      <c r="L168" s="58" t="n">
        <v>5008.03</v>
      </c>
      <c r="M168" s="58" t="n">
        <v>5151.07</v>
      </c>
      <c r="N168" s="58" t="n">
        <v>5219.03</v>
      </c>
      <c r="O168" s="58" t="n">
        <v>4990.33</v>
      </c>
      <c r="P168" s="58" t="n">
        <v>4725.93</v>
      </c>
      <c r="Q168" s="28">
        <f>SUM(E168:P168)</f>
        <v/>
      </c>
    </row>
    <row r="169">
      <c r="A169" s="91">
        <f>Stammdaten!A62</f>
        <v/>
      </c>
      <c r="B169" s="73">
        <f>Stammdaten!B62</f>
        <v/>
      </c>
      <c r="C169" s="73">
        <f>Stammdaten!C62</f>
        <v/>
      </c>
      <c r="D169" s="128" t="inlineStr">
        <is>
          <t>Selbstkosten</t>
        </is>
      </c>
      <c r="E169" s="58" t="n">
        <v>3012.28</v>
      </c>
      <c r="F169" s="58" t="n">
        <v>3012.19</v>
      </c>
      <c r="G169" s="58" t="n">
        <v>2939.84</v>
      </c>
      <c r="H169" s="58" t="n">
        <v>3088.21</v>
      </c>
      <c r="I169" s="58" t="n">
        <v>2953.49</v>
      </c>
      <c r="J169" s="58" t="n">
        <v>3038.24</v>
      </c>
      <c r="K169" s="58" t="n">
        <v>2598.87</v>
      </c>
      <c r="L169" s="58" t="n">
        <v>2969.71</v>
      </c>
      <c r="M169" s="58" t="n">
        <v>3103.28</v>
      </c>
      <c r="N169" s="58" t="n">
        <v>3008.08</v>
      </c>
      <c r="O169" s="58" t="n">
        <v>2969.55</v>
      </c>
      <c r="P169" s="58" t="n">
        <v>2699.66</v>
      </c>
      <c r="Q169" s="28">
        <f>SUM(E169:P169)</f>
        <v/>
      </c>
    </row>
    <row r="170">
      <c r="A170" s="91">
        <f>Stammdaten!A62</f>
        <v/>
      </c>
      <c r="B170" s="73">
        <f>Stammdaten!B62</f>
        <v/>
      </c>
      <c r="C170" s="73">
        <f>Stammdaten!C62</f>
        <v/>
      </c>
      <c r="D170" s="135" t="inlineStr">
        <is>
          <t>DB1</t>
        </is>
      </c>
      <c r="E170" s="40">
        <f>E168-E169-Rückstellungen!D62-Rückstellungen!Q62-Rückstellungen!AD62</f>
        <v/>
      </c>
      <c r="F170" s="40">
        <f>F168-F169-Rückstellungen!E62-Rückstellungen!R62-Rückstellungen!AE62</f>
        <v/>
      </c>
      <c r="G170" s="40">
        <f>G168-G169-Rückstellungen!F62-Rückstellungen!S62-Rückstellungen!AF62</f>
        <v/>
      </c>
      <c r="H170" s="40">
        <f>H168-H169-Rückstellungen!G62-Rückstellungen!T62-Rückstellungen!AG62</f>
        <v/>
      </c>
      <c r="I170" s="40">
        <f>I168-I169-Rückstellungen!H62-Rückstellungen!U62-Rückstellungen!AH62</f>
        <v/>
      </c>
      <c r="J170" s="40">
        <f>J168-J169-Rückstellungen!I62-Rückstellungen!V62-Rückstellungen!AI62</f>
        <v/>
      </c>
      <c r="K170" s="40">
        <f>K168-K169-Rückstellungen!J62-Rückstellungen!W62-Rückstellungen!AJ62</f>
        <v/>
      </c>
      <c r="L170" s="40">
        <f>L168-L169-Rückstellungen!K62-Rückstellungen!X62-Rückstellungen!AK62</f>
        <v/>
      </c>
      <c r="M170" s="40">
        <f>M168-M169-Rückstellungen!L62-Rückstellungen!Y62-Rückstellungen!AL62</f>
        <v/>
      </c>
      <c r="N170" s="40">
        <f>N168-N169-Rückstellungen!M62-Rückstellungen!Z62-Rückstellungen!AM62</f>
        <v/>
      </c>
      <c r="O170" s="40">
        <f>O168-O169-Rückstellungen!N62-Rückstellungen!AA62-Rückstellungen!AN62</f>
        <v/>
      </c>
      <c r="P170" s="40">
        <f>P168-P169-Rückstellungen!O62-Rückstellungen!AB62-Rückstellungen!AO62</f>
        <v/>
      </c>
      <c r="Q170" s="59">
        <f>SUM(E170:P170)</f>
        <v/>
      </c>
      <c r="R170" s="126">
        <f>IFERROR(Q170/Q168,0)</f>
        <v/>
      </c>
    </row>
    <row r="171">
      <c r="A171" s="91">
        <f>Stammdaten!A63</f>
        <v/>
      </c>
      <c r="B171" s="73">
        <f>Stammdaten!B63</f>
        <v/>
      </c>
      <c r="C171" s="73">
        <f>Stammdaten!C63</f>
        <v/>
      </c>
      <c r="D171" s="127" t="inlineStr">
        <is>
          <t>Verrechnung</t>
        </is>
      </c>
      <c r="E171" s="58" t="n">
        <v>6536.05</v>
      </c>
      <c r="F171" s="58" t="n">
        <v>7095.96</v>
      </c>
      <c r="G171" s="58" t="n">
        <v>7007.15</v>
      </c>
      <c r="H171" s="58" t="n">
        <v>6561.87</v>
      </c>
      <c r="I171" s="58" t="n">
        <v>7005.54</v>
      </c>
      <c r="J171" s="58" t="n">
        <v>6604.67</v>
      </c>
      <c r="K171" s="58" t="n">
        <v>5822.28</v>
      </c>
      <c r="L171" s="58" t="n">
        <v>6750.02</v>
      </c>
      <c r="M171" s="58" t="n">
        <v>6885.06</v>
      </c>
      <c r="N171" s="58" t="n">
        <v>6846.21</v>
      </c>
      <c r="O171" s="58" t="n">
        <v>7051.13</v>
      </c>
      <c r="P171" s="58" t="n">
        <v>6076.16</v>
      </c>
      <c r="Q171" s="28">
        <f>SUM(E171:P171)</f>
        <v/>
      </c>
    </row>
    <row r="172">
      <c r="A172" s="91">
        <f>Stammdaten!A63</f>
        <v/>
      </c>
      <c r="B172" s="73">
        <f>Stammdaten!B63</f>
        <v/>
      </c>
      <c r="C172" s="73">
        <f>Stammdaten!C63</f>
        <v/>
      </c>
      <c r="D172" s="128" t="inlineStr">
        <is>
          <t>Selbstkosten</t>
        </is>
      </c>
      <c r="E172" s="58" t="n">
        <v>4279.92</v>
      </c>
      <c r="F172" s="58" t="n">
        <v>4481.66</v>
      </c>
      <c r="G172" s="58" t="n">
        <v>4621.15</v>
      </c>
      <c r="H172" s="58" t="n">
        <v>4332.35</v>
      </c>
      <c r="I172" s="58" t="n">
        <v>4570.29</v>
      </c>
      <c r="J172" s="58" t="n">
        <v>4199.01</v>
      </c>
      <c r="K172" s="58" t="n">
        <v>3733.04</v>
      </c>
      <c r="L172" s="58" t="n">
        <v>4335.74</v>
      </c>
      <c r="M172" s="58" t="n">
        <v>4463.65</v>
      </c>
      <c r="N172" s="58" t="n">
        <v>4543.36</v>
      </c>
      <c r="O172" s="58" t="n">
        <v>4519.41</v>
      </c>
      <c r="P172" s="58" t="n">
        <v>3971.8</v>
      </c>
      <c r="Q172" s="28">
        <f>SUM(E172:P172)</f>
        <v/>
      </c>
    </row>
    <row r="173">
      <c r="A173" s="91">
        <f>Stammdaten!A63</f>
        <v/>
      </c>
      <c r="B173" s="73">
        <f>Stammdaten!B63</f>
        <v/>
      </c>
      <c r="C173" s="73">
        <f>Stammdaten!C63</f>
        <v/>
      </c>
      <c r="D173" s="135" t="inlineStr">
        <is>
          <t>DB1</t>
        </is>
      </c>
      <c r="E173" s="40">
        <f>E171-E172-Rückstellungen!D63-Rückstellungen!Q63-Rückstellungen!AD63</f>
        <v/>
      </c>
      <c r="F173" s="40">
        <f>F171-F172-Rückstellungen!E63-Rückstellungen!R63-Rückstellungen!AE63</f>
        <v/>
      </c>
      <c r="G173" s="40">
        <f>G171-G172-Rückstellungen!F63-Rückstellungen!S63-Rückstellungen!AF63</f>
        <v/>
      </c>
      <c r="H173" s="40">
        <f>H171-H172-Rückstellungen!G63-Rückstellungen!T63-Rückstellungen!AG63</f>
        <v/>
      </c>
      <c r="I173" s="40">
        <f>I171-I172-Rückstellungen!H63-Rückstellungen!U63-Rückstellungen!AH63</f>
        <v/>
      </c>
      <c r="J173" s="40">
        <f>J171-J172-Rückstellungen!I63-Rückstellungen!V63-Rückstellungen!AI63</f>
        <v/>
      </c>
      <c r="K173" s="40">
        <f>K171-K172-Rückstellungen!J63-Rückstellungen!W63-Rückstellungen!AJ63</f>
        <v/>
      </c>
      <c r="L173" s="40">
        <f>L171-L172-Rückstellungen!K63-Rückstellungen!X63-Rückstellungen!AK63</f>
        <v/>
      </c>
      <c r="M173" s="40">
        <f>M171-M172-Rückstellungen!L63-Rückstellungen!Y63-Rückstellungen!AL63</f>
        <v/>
      </c>
      <c r="N173" s="40">
        <f>N171-N172-Rückstellungen!M63-Rückstellungen!Z63-Rückstellungen!AM63</f>
        <v/>
      </c>
      <c r="O173" s="40">
        <f>O171-O172-Rückstellungen!N63-Rückstellungen!AA63-Rückstellungen!AN63</f>
        <v/>
      </c>
      <c r="P173" s="40">
        <f>P171-P172-Rückstellungen!O63-Rückstellungen!AB63-Rückstellungen!AO63</f>
        <v/>
      </c>
      <c r="Q173" s="59">
        <f>SUM(E173:P173)</f>
        <v/>
      </c>
      <c r="R173" s="126">
        <f>IFERROR(Q173/Q171,0)</f>
        <v/>
      </c>
    </row>
    <row r="174">
      <c r="A174" s="91">
        <f>Stammdaten!A64</f>
        <v/>
      </c>
      <c r="B174" s="73">
        <f>Stammdaten!B64</f>
        <v/>
      </c>
      <c r="C174" s="73">
        <f>Stammdaten!C64</f>
        <v/>
      </c>
      <c r="D174" s="127" t="inlineStr">
        <is>
          <t>Verrechnung</t>
        </is>
      </c>
      <c r="E174" s="58" t="n">
        <v>6012.4</v>
      </c>
      <c r="F174" s="58" t="n">
        <v>6322.24</v>
      </c>
      <c r="G174" s="58" t="n">
        <v>6293.21</v>
      </c>
      <c r="H174" s="58" t="n">
        <v>6311.27</v>
      </c>
      <c r="I174" s="58" t="n">
        <v>6490.8</v>
      </c>
      <c r="J174" s="58" t="n">
        <v>6395.63</v>
      </c>
      <c r="K174" s="58" t="n">
        <v>5235.84</v>
      </c>
      <c r="L174" s="58" t="n">
        <v>6262.7</v>
      </c>
      <c r="M174" s="58" t="n">
        <v>6074.7</v>
      </c>
      <c r="N174" s="58" t="n">
        <v>6209.74</v>
      </c>
      <c r="O174" s="58" t="n">
        <v>6336.6</v>
      </c>
      <c r="P174" s="58" t="n">
        <v>6032.4</v>
      </c>
      <c r="Q174" s="28">
        <f>SUM(E174:P174)</f>
        <v/>
      </c>
    </row>
    <row r="175">
      <c r="A175" s="91">
        <f>Stammdaten!A64</f>
        <v/>
      </c>
      <c r="B175" s="73">
        <f>Stammdaten!B64</f>
        <v/>
      </c>
      <c r="C175" s="73">
        <f>Stammdaten!C64</f>
        <v/>
      </c>
      <c r="D175" s="128" t="inlineStr">
        <is>
          <t>Selbstkosten</t>
        </is>
      </c>
      <c r="E175" s="58" t="n">
        <v>3377.11</v>
      </c>
      <c r="F175" s="58" t="n">
        <v>3530.53</v>
      </c>
      <c r="G175" s="58" t="n">
        <v>3613.78</v>
      </c>
      <c r="H175" s="58" t="n">
        <v>3645.13</v>
      </c>
      <c r="I175" s="58" t="n">
        <v>3667.37</v>
      </c>
      <c r="J175" s="58" t="n">
        <v>3556.13</v>
      </c>
      <c r="K175" s="58" t="n">
        <v>3044.88</v>
      </c>
      <c r="L175" s="58" t="n">
        <v>3627.29</v>
      </c>
      <c r="M175" s="58" t="n">
        <v>3442.56</v>
      </c>
      <c r="N175" s="58" t="n">
        <v>3594.61</v>
      </c>
      <c r="O175" s="58" t="n">
        <v>3534.61</v>
      </c>
      <c r="P175" s="58" t="n">
        <v>3399.68</v>
      </c>
      <c r="Q175" s="28">
        <f>SUM(E175:P175)</f>
        <v/>
      </c>
    </row>
    <row r="176">
      <c r="A176" s="91">
        <f>Stammdaten!A64</f>
        <v/>
      </c>
      <c r="B176" s="73">
        <f>Stammdaten!B64</f>
        <v/>
      </c>
      <c r="C176" s="73">
        <f>Stammdaten!C64</f>
        <v/>
      </c>
      <c r="D176" s="135" t="inlineStr">
        <is>
          <t>DB1</t>
        </is>
      </c>
      <c r="E176" s="40">
        <f>E174-E175-Rückstellungen!D64-Rückstellungen!Q64-Rückstellungen!AD64</f>
        <v/>
      </c>
      <c r="F176" s="40">
        <f>F174-F175-Rückstellungen!E64-Rückstellungen!R64-Rückstellungen!AE64</f>
        <v/>
      </c>
      <c r="G176" s="40">
        <f>G174-G175-Rückstellungen!F64-Rückstellungen!S64-Rückstellungen!AF64</f>
        <v/>
      </c>
      <c r="H176" s="40">
        <f>H174-H175-Rückstellungen!G64-Rückstellungen!T64-Rückstellungen!AG64</f>
        <v/>
      </c>
      <c r="I176" s="40">
        <f>I174-I175-Rückstellungen!H64-Rückstellungen!U64-Rückstellungen!AH64</f>
        <v/>
      </c>
      <c r="J176" s="40">
        <f>J174-J175-Rückstellungen!I64-Rückstellungen!V64-Rückstellungen!AI64</f>
        <v/>
      </c>
      <c r="K176" s="40">
        <f>K174-K175-Rückstellungen!J64-Rückstellungen!W64-Rückstellungen!AJ64</f>
        <v/>
      </c>
      <c r="L176" s="40">
        <f>L174-L175-Rückstellungen!K64-Rückstellungen!X64-Rückstellungen!AK64</f>
        <v/>
      </c>
      <c r="M176" s="40">
        <f>M174-M175-Rückstellungen!L64-Rückstellungen!Y64-Rückstellungen!AL64</f>
        <v/>
      </c>
      <c r="N176" s="40">
        <f>N174-N175-Rückstellungen!M64-Rückstellungen!Z64-Rückstellungen!AM64</f>
        <v/>
      </c>
      <c r="O176" s="40">
        <f>O174-O175-Rückstellungen!N64-Rückstellungen!AA64-Rückstellungen!AN64</f>
        <v/>
      </c>
      <c r="P176" s="40">
        <f>P174-P175-Rückstellungen!O64-Rückstellungen!AB64-Rückstellungen!AO64</f>
        <v/>
      </c>
      <c r="Q176" s="59">
        <f>SUM(E176:P176)</f>
        <v/>
      </c>
      <c r="R176" s="126">
        <f>IFERROR(Q176/Q174,0)</f>
        <v/>
      </c>
    </row>
    <row r="177">
      <c r="A177" s="91">
        <f>Stammdaten!A65</f>
        <v/>
      </c>
      <c r="B177" s="73">
        <f>Stammdaten!B65</f>
        <v/>
      </c>
      <c r="C177" s="73">
        <f>Stammdaten!C65</f>
        <v/>
      </c>
      <c r="D177" s="127" t="inlineStr">
        <is>
          <t>Verrechnung</t>
        </is>
      </c>
      <c r="E177" s="58" t="n">
        <v>6714.07</v>
      </c>
      <c r="F177" s="58" t="n">
        <v>6486.03</v>
      </c>
      <c r="G177" s="58" t="n">
        <v>6590.92</v>
      </c>
      <c r="H177" s="58" t="n">
        <v>6341.43</v>
      </c>
      <c r="I177" s="58" t="n">
        <v>6550.47</v>
      </c>
      <c r="J177" s="58" t="n">
        <v>6310.25</v>
      </c>
      <c r="K177" s="58" t="n">
        <v>5530.71</v>
      </c>
      <c r="L177" s="58" t="n">
        <v>6755.25</v>
      </c>
      <c r="M177" s="58" t="n">
        <v>6720.16</v>
      </c>
      <c r="N177" s="58" t="n">
        <v>6609.06</v>
      </c>
      <c r="O177" s="58" t="n">
        <v>6535.1</v>
      </c>
      <c r="P177" s="58" t="n">
        <v>6293.77</v>
      </c>
      <c r="Q177" s="28">
        <f>SUM(E177:P177)</f>
        <v/>
      </c>
    </row>
    <row r="178">
      <c r="A178" s="91">
        <f>Stammdaten!A65</f>
        <v/>
      </c>
      <c r="B178" s="73">
        <f>Stammdaten!B65</f>
        <v/>
      </c>
      <c r="C178" s="73">
        <f>Stammdaten!C65</f>
        <v/>
      </c>
      <c r="D178" s="128" t="inlineStr">
        <is>
          <t>Selbstkosten</t>
        </is>
      </c>
      <c r="E178" s="58" t="n">
        <v>5505.97</v>
      </c>
      <c r="F178" s="58" t="n">
        <v>5482.2</v>
      </c>
      <c r="G178" s="58" t="n">
        <v>5404.97</v>
      </c>
      <c r="H178" s="58" t="n">
        <v>5337.18</v>
      </c>
      <c r="I178" s="58" t="n">
        <v>5265.49</v>
      </c>
      <c r="J178" s="58" t="n">
        <v>5306.85</v>
      </c>
      <c r="K178" s="58" t="n">
        <v>4459.25</v>
      </c>
      <c r="L178" s="58" t="n">
        <v>5766.55</v>
      </c>
      <c r="M178" s="58" t="n">
        <v>5576.01</v>
      </c>
      <c r="N178" s="58" t="n">
        <v>5413.25</v>
      </c>
      <c r="O178" s="58" t="n">
        <v>5402.12</v>
      </c>
      <c r="P178" s="58" t="n">
        <v>5102.46</v>
      </c>
      <c r="Q178" s="28">
        <f>SUM(E178:P178)</f>
        <v/>
      </c>
    </row>
    <row r="179">
      <c r="A179" s="91">
        <f>Stammdaten!A65</f>
        <v/>
      </c>
      <c r="B179" s="73">
        <f>Stammdaten!B65</f>
        <v/>
      </c>
      <c r="C179" s="73">
        <f>Stammdaten!C65</f>
        <v/>
      </c>
      <c r="D179" s="135" t="inlineStr">
        <is>
          <t>DB1</t>
        </is>
      </c>
      <c r="E179" s="40">
        <f>E177-E178-Rückstellungen!D65-Rückstellungen!Q65-Rückstellungen!AD65</f>
        <v/>
      </c>
      <c r="F179" s="40">
        <f>F177-F178-Rückstellungen!E65-Rückstellungen!R65-Rückstellungen!AE65</f>
        <v/>
      </c>
      <c r="G179" s="40">
        <f>G177-G178-Rückstellungen!F65-Rückstellungen!S65-Rückstellungen!AF65</f>
        <v/>
      </c>
      <c r="H179" s="40">
        <f>H177-H178-Rückstellungen!G65-Rückstellungen!T65-Rückstellungen!AG65</f>
        <v/>
      </c>
      <c r="I179" s="40">
        <f>I177-I178-Rückstellungen!H65-Rückstellungen!U65-Rückstellungen!AH65</f>
        <v/>
      </c>
      <c r="J179" s="40">
        <f>J177-J178-Rückstellungen!I65-Rückstellungen!V65-Rückstellungen!AI65</f>
        <v/>
      </c>
      <c r="K179" s="40">
        <f>K177-K178-Rückstellungen!J65-Rückstellungen!W65-Rückstellungen!AJ65</f>
        <v/>
      </c>
      <c r="L179" s="40">
        <f>L177-L178-Rückstellungen!K65-Rückstellungen!X65-Rückstellungen!AK65</f>
        <v/>
      </c>
      <c r="M179" s="40">
        <f>M177-M178-Rückstellungen!L65-Rückstellungen!Y65-Rückstellungen!AL65</f>
        <v/>
      </c>
      <c r="N179" s="40">
        <f>N177-N178-Rückstellungen!M65-Rückstellungen!Z65-Rückstellungen!AM65</f>
        <v/>
      </c>
      <c r="O179" s="40">
        <f>O177-O178-Rückstellungen!N65-Rückstellungen!AA65-Rückstellungen!AN65</f>
        <v/>
      </c>
      <c r="P179" s="40">
        <f>P177-P178-Rückstellungen!O65-Rückstellungen!AB65-Rückstellungen!AO65</f>
        <v/>
      </c>
      <c r="Q179" s="59">
        <f>SUM(E179:P179)</f>
        <v/>
      </c>
      <c r="R179" s="126">
        <f>IFERROR(Q179/Q177,0)</f>
        <v/>
      </c>
    </row>
    <row r="180">
      <c r="A180" s="91">
        <f>Stammdaten!A66</f>
        <v/>
      </c>
      <c r="B180" s="73">
        <f>Stammdaten!B66</f>
        <v/>
      </c>
      <c r="C180" s="73">
        <f>Stammdaten!C66</f>
        <v/>
      </c>
      <c r="D180" s="127" t="inlineStr">
        <is>
          <t>Verrechnung</t>
        </is>
      </c>
      <c r="E180" s="58" t="n">
        <v>5928.55</v>
      </c>
      <c r="F180" s="58" t="n">
        <v>5695.74</v>
      </c>
      <c r="G180" s="58" t="n">
        <v>5585.51</v>
      </c>
      <c r="H180" s="58" t="n">
        <v>5836.49</v>
      </c>
      <c r="I180" s="58" t="n">
        <v>5771.61</v>
      </c>
      <c r="J180" s="58" t="n">
        <v>5750.84</v>
      </c>
      <c r="K180" s="58" t="n">
        <v>4834.55</v>
      </c>
      <c r="L180" s="58" t="n">
        <v>5726.5</v>
      </c>
      <c r="M180" s="58" t="n">
        <v>5636.12</v>
      </c>
      <c r="N180" s="58" t="n">
        <v>5676.74</v>
      </c>
      <c r="O180" s="58" t="n">
        <v>5655.93</v>
      </c>
      <c r="P180" s="58" t="n">
        <v>5068.37</v>
      </c>
      <c r="Q180" s="28">
        <f>SUM(E180:P180)</f>
        <v/>
      </c>
    </row>
    <row r="181">
      <c r="A181" s="91">
        <f>Stammdaten!A66</f>
        <v/>
      </c>
      <c r="B181" s="73">
        <f>Stammdaten!B66</f>
        <v/>
      </c>
      <c r="C181" s="73">
        <f>Stammdaten!C66</f>
        <v/>
      </c>
      <c r="D181" s="128" t="inlineStr">
        <is>
          <t>Selbstkosten</t>
        </is>
      </c>
      <c r="E181" s="58" t="n">
        <v>3240.92</v>
      </c>
      <c r="F181" s="58" t="n">
        <v>3016.78</v>
      </c>
      <c r="G181" s="58" t="n">
        <v>3016.85</v>
      </c>
      <c r="H181" s="58" t="n">
        <v>3267.85</v>
      </c>
      <c r="I181" s="58" t="n">
        <v>3232.29</v>
      </c>
      <c r="J181" s="58" t="n">
        <v>3125.36</v>
      </c>
      <c r="K181" s="58" t="n">
        <v>2683.72</v>
      </c>
      <c r="L181" s="58" t="n">
        <v>3243.45</v>
      </c>
      <c r="M181" s="58" t="n">
        <v>3067.94</v>
      </c>
      <c r="N181" s="58" t="n">
        <v>3030.53</v>
      </c>
      <c r="O181" s="58" t="n">
        <v>3093.68</v>
      </c>
      <c r="P181" s="58" t="n">
        <v>2838.67</v>
      </c>
      <c r="Q181" s="28">
        <f>SUM(E181:P181)</f>
        <v/>
      </c>
    </row>
    <row r="182">
      <c r="A182" s="91">
        <f>Stammdaten!A66</f>
        <v/>
      </c>
      <c r="B182" s="73">
        <f>Stammdaten!B66</f>
        <v/>
      </c>
      <c r="C182" s="73">
        <f>Stammdaten!C66</f>
        <v/>
      </c>
      <c r="D182" s="135" t="inlineStr">
        <is>
          <t>DB1</t>
        </is>
      </c>
      <c r="E182" s="40">
        <f>E180-E181-Rückstellungen!D66-Rückstellungen!Q66-Rückstellungen!AD66</f>
        <v/>
      </c>
      <c r="F182" s="40">
        <f>F180-F181-Rückstellungen!E66-Rückstellungen!R66-Rückstellungen!AE66</f>
        <v/>
      </c>
      <c r="G182" s="40">
        <f>G180-G181-Rückstellungen!F66-Rückstellungen!S66-Rückstellungen!AF66</f>
        <v/>
      </c>
      <c r="H182" s="40">
        <f>H180-H181-Rückstellungen!G66-Rückstellungen!T66-Rückstellungen!AG66</f>
        <v/>
      </c>
      <c r="I182" s="40">
        <f>I180-I181-Rückstellungen!H66-Rückstellungen!U66-Rückstellungen!AH66</f>
        <v/>
      </c>
      <c r="J182" s="40">
        <f>J180-J181-Rückstellungen!I66-Rückstellungen!V66-Rückstellungen!AI66</f>
        <v/>
      </c>
      <c r="K182" s="40">
        <f>K180-K181-Rückstellungen!J66-Rückstellungen!W66-Rückstellungen!AJ66</f>
        <v/>
      </c>
      <c r="L182" s="40">
        <f>L180-L181-Rückstellungen!K66-Rückstellungen!X66-Rückstellungen!AK66</f>
        <v/>
      </c>
      <c r="M182" s="40">
        <f>M180-M181-Rückstellungen!L66-Rückstellungen!Y66-Rückstellungen!AL66</f>
        <v/>
      </c>
      <c r="N182" s="40">
        <f>N180-N181-Rückstellungen!M66-Rückstellungen!Z66-Rückstellungen!AM66</f>
        <v/>
      </c>
      <c r="O182" s="40">
        <f>O180-O181-Rückstellungen!N66-Rückstellungen!AA66-Rückstellungen!AN66</f>
        <v/>
      </c>
      <c r="P182" s="40">
        <f>P180-P181-Rückstellungen!O66-Rückstellungen!AB66-Rückstellungen!AO66</f>
        <v/>
      </c>
      <c r="Q182" s="59">
        <f>SUM(E182:P182)</f>
        <v/>
      </c>
      <c r="R182" s="126">
        <f>IFERROR(Q182/Q180,0)</f>
        <v/>
      </c>
    </row>
    <row r="183">
      <c r="A183" s="91">
        <f>Stammdaten!A67</f>
        <v/>
      </c>
      <c r="B183" s="73">
        <f>Stammdaten!B67</f>
        <v/>
      </c>
      <c r="C183" s="73">
        <f>Stammdaten!C67</f>
        <v/>
      </c>
      <c r="D183" s="127" t="inlineStr">
        <is>
          <t>Verrechnung</t>
        </is>
      </c>
      <c r="E183" s="58" t="n">
        <v>6462.53</v>
      </c>
      <c r="F183" s="58" t="n">
        <v>6347.03</v>
      </c>
      <c r="G183" s="58" t="n">
        <v>6361.39</v>
      </c>
      <c r="H183" s="58" t="n">
        <v>6629.24</v>
      </c>
      <c r="I183" s="58" t="n">
        <v>6527.19</v>
      </c>
      <c r="J183" s="58" t="n">
        <v>6594.48</v>
      </c>
      <c r="K183" s="58" t="n">
        <v>6135.69</v>
      </c>
      <c r="L183" s="58" t="n">
        <v>6448.2</v>
      </c>
      <c r="M183" s="58" t="n">
        <v>6773.77</v>
      </c>
      <c r="N183" s="58" t="n">
        <v>6787.62</v>
      </c>
      <c r="O183" s="58" t="n">
        <v>6563.42</v>
      </c>
      <c r="P183" s="58" t="n">
        <v>5921.91</v>
      </c>
      <c r="Q183" s="28">
        <f>SUM(E183:P183)</f>
        <v/>
      </c>
    </row>
    <row r="184">
      <c r="A184" s="91">
        <f>Stammdaten!A67</f>
        <v/>
      </c>
      <c r="B184" s="73">
        <f>Stammdaten!B67</f>
        <v/>
      </c>
      <c r="C184" s="73">
        <f>Stammdaten!C67</f>
        <v/>
      </c>
      <c r="D184" s="128" t="inlineStr">
        <is>
          <t>Selbstkosten</t>
        </is>
      </c>
      <c r="E184" s="58" t="n">
        <v>3426.61</v>
      </c>
      <c r="F184" s="58" t="n">
        <v>3397.53</v>
      </c>
      <c r="G184" s="58" t="n">
        <v>3408.85</v>
      </c>
      <c r="H184" s="58" t="n">
        <v>3598.85</v>
      </c>
      <c r="I184" s="58" t="n">
        <v>3521.81</v>
      </c>
      <c r="J184" s="58" t="n">
        <v>3665.4</v>
      </c>
      <c r="K184" s="58" t="n">
        <v>3236.76</v>
      </c>
      <c r="L184" s="58" t="n">
        <v>3406.52</v>
      </c>
      <c r="M184" s="58" t="n">
        <v>3688.68</v>
      </c>
      <c r="N184" s="58" t="n">
        <v>3781.1</v>
      </c>
      <c r="O184" s="58" t="n">
        <v>3469.38</v>
      </c>
      <c r="P184" s="58" t="n">
        <v>3232.29</v>
      </c>
      <c r="Q184" s="28">
        <f>SUM(E184:P184)</f>
        <v/>
      </c>
    </row>
    <row r="185">
      <c r="A185" s="91">
        <f>Stammdaten!A67</f>
        <v/>
      </c>
      <c r="B185" s="73">
        <f>Stammdaten!B67</f>
        <v/>
      </c>
      <c r="C185" s="73">
        <f>Stammdaten!C67</f>
        <v/>
      </c>
      <c r="D185" s="135" t="inlineStr">
        <is>
          <t>DB1</t>
        </is>
      </c>
      <c r="E185" s="40">
        <f>E183-E184-Rückstellungen!D67-Rückstellungen!Q67-Rückstellungen!AD67</f>
        <v/>
      </c>
      <c r="F185" s="40">
        <f>F183-F184-Rückstellungen!E67-Rückstellungen!R67-Rückstellungen!AE67</f>
        <v/>
      </c>
      <c r="G185" s="40">
        <f>G183-G184-Rückstellungen!F67-Rückstellungen!S67-Rückstellungen!AF67</f>
        <v/>
      </c>
      <c r="H185" s="40">
        <f>H183-H184-Rückstellungen!G67-Rückstellungen!T67-Rückstellungen!AG67</f>
        <v/>
      </c>
      <c r="I185" s="40">
        <f>I183-I184-Rückstellungen!H67-Rückstellungen!U67-Rückstellungen!AH67</f>
        <v/>
      </c>
      <c r="J185" s="40">
        <f>J183-J184-Rückstellungen!I67-Rückstellungen!V67-Rückstellungen!AI67</f>
        <v/>
      </c>
      <c r="K185" s="40">
        <f>K183-K184-Rückstellungen!J67-Rückstellungen!W67-Rückstellungen!AJ67</f>
        <v/>
      </c>
      <c r="L185" s="40">
        <f>L183-L184-Rückstellungen!K67-Rückstellungen!X67-Rückstellungen!AK67</f>
        <v/>
      </c>
      <c r="M185" s="40">
        <f>M183-M184-Rückstellungen!L67-Rückstellungen!Y67-Rückstellungen!AL67</f>
        <v/>
      </c>
      <c r="N185" s="40">
        <f>N183-N184-Rückstellungen!M67-Rückstellungen!Z67-Rückstellungen!AM67</f>
        <v/>
      </c>
      <c r="O185" s="40">
        <f>O183-O184-Rückstellungen!N67-Rückstellungen!AA67-Rückstellungen!AN67</f>
        <v/>
      </c>
      <c r="P185" s="40">
        <f>P183-P184-Rückstellungen!O67-Rückstellungen!AB67-Rückstellungen!AO67</f>
        <v/>
      </c>
      <c r="Q185" s="59">
        <f>SUM(E185:P185)</f>
        <v/>
      </c>
      <c r="R185" s="126">
        <f>IFERROR(Q185/Q183,0)</f>
        <v/>
      </c>
    </row>
    <row r="186">
      <c r="A186" s="91">
        <f>Stammdaten!A68</f>
        <v/>
      </c>
      <c r="B186" s="73">
        <f>Stammdaten!B68</f>
        <v/>
      </c>
      <c r="C186" s="73">
        <f>Stammdaten!C68</f>
        <v/>
      </c>
      <c r="D186" s="127" t="inlineStr">
        <is>
          <t>Verrechnung</t>
        </is>
      </c>
      <c r="E186" s="58" t="n">
        <v>4908.97</v>
      </c>
      <c r="F186" s="58" t="n">
        <v>4962.67</v>
      </c>
      <c r="G186" s="58" t="n">
        <v>4810.3</v>
      </c>
      <c r="H186" s="58" t="n">
        <v>4812.2</v>
      </c>
      <c r="I186" s="58" t="n">
        <v>5057.82</v>
      </c>
      <c r="J186" s="58" t="n">
        <v>5054.2</v>
      </c>
      <c r="K186" s="58" t="n">
        <v>4525.41</v>
      </c>
      <c r="L186" s="58" t="n">
        <v>4952.82</v>
      </c>
      <c r="M186" s="58" t="n">
        <v>4952.35</v>
      </c>
      <c r="N186" s="58" t="n">
        <v>5048.65</v>
      </c>
      <c r="O186" s="58" t="n">
        <v>4809.42</v>
      </c>
      <c r="P186" s="58" t="n">
        <v>4693.16</v>
      </c>
      <c r="Q186" s="28">
        <f>SUM(E186:P186)</f>
        <v/>
      </c>
    </row>
    <row r="187">
      <c r="A187" s="91">
        <f>Stammdaten!A68</f>
        <v/>
      </c>
      <c r="B187" s="73">
        <f>Stammdaten!B68</f>
        <v/>
      </c>
      <c r="C187" s="73">
        <f>Stammdaten!C68</f>
        <v/>
      </c>
      <c r="D187" s="128" t="inlineStr">
        <is>
          <t>Selbstkosten</t>
        </is>
      </c>
      <c r="E187" s="58" t="n">
        <v>2613.53</v>
      </c>
      <c r="F187" s="58" t="n">
        <v>2760.55</v>
      </c>
      <c r="G187" s="58" t="n">
        <v>2536.42</v>
      </c>
      <c r="H187" s="58" t="n">
        <v>2584.19</v>
      </c>
      <c r="I187" s="58" t="n">
        <v>2769.27</v>
      </c>
      <c r="J187" s="58" t="n">
        <v>2753.79</v>
      </c>
      <c r="K187" s="58" t="n">
        <v>2426.61</v>
      </c>
      <c r="L187" s="58" t="n">
        <v>2791.73</v>
      </c>
      <c r="M187" s="58" t="n">
        <v>2747.46</v>
      </c>
      <c r="N187" s="58" t="n">
        <v>2740.43</v>
      </c>
      <c r="O187" s="58" t="n">
        <v>2607.61</v>
      </c>
      <c r="P187" s="58" t="n">
        <v>2512.93</v>
      </c>
      <c r="Q187" s="28">
        <f>SUM(E187:P187)</f>
        <v/>
      </c>
    </row>
    <row r="188">
      <c r="A188" s="91">
        <f>Stammdaten!A68</f>
        <v/>
      </c>
      <c r="B188" s="73">
        <f>Stammdaten!B68</f>
        <v/>
      </c>
      <c r="C188" s="73">
        <f>Stammdaten!C68</f>
        <v/>
      </c>
      <c r="D188" s="135" t="inlineStr">
        <is>
          <t>DB1</t>
        </is>
      </c>
      <c r="E188" s="40">
        <f>E186-E187-Rückstellungen!D68-Rückstellungen!Q68-Rückstellungen!AD68</f>
        <v/>
      </c>
      <c r="F188" s="40">
        <f>F186-F187-Rückstellungen!E68-Rückstellungen!R68-Rückstellungen!AE68</f>
        <v/>
      </c>
      <c r="G188" s="40">
        <f>G186-G187-Rückstellungen!F68-Rückstellungen!S68-Rückstellungen!AF68</f>
        <v/>
      </c>
      <c r="H188" s="40">
        <f>H186-H187-Rückstellungen!G68-Rückstellungen!T68-Rückstellungen!AG68</f>
        <v/>
      </c>
      <c r="I188" s="40">
        <f>I186-I187-Rückstellungen!H68-Rückstellungen!U68-Rückstellungen!AH68</f>
        <v/>
      </c>
      <c r="J188" s="40">
        <f>J186-J187-Rückstellungen!I68-Rückstellungen!V68-Rückstellungen!AI68</f>
        <v/>
      </c>
      <c r="K188" s="40">
        <f>K186-K187-Rückstellungen!J68-Rückstellungen!W68-Rückstellungen!AJ68</f>
        <v/>
      </c>
      <c r="L188" s="40">
        <f>L186-L187-Rückstellungen!K68-Rückstellungen!X68-Rückstellungen!AK68</f>
        <v/>
      </c>
      <c r="M188" s="40">
        <f>M186-M187-Rückstellungen!L68-Rückstellungen!Y68-Rückstellungen!AL68</f>
        <v/>
      </c>
      <c r="N188" s="40">
        <f>N186-N187-Rückstellungen!M68-Rückstellungen!Z68-Rückstellungen!AM68</f>
        <v/>
      </c>
      <c r="O188" s="40">
        <f>O186-O187-Rückstellungen!N68-Rückstellungen!AA68-Rückstellungen!AN68</f>
        <v/>
      </c>
      <c r="P188" s="40">
        <f>P186-P187-Rückstellungen!O68-Rückstellungen!AB68-Rückstellungen!AO68</f>
        <v/>
      </c>
      <c r="Q188" s="59">
        <f>SUM(E188:P188)</f>
        <v/>
      </c>
      <c r="R188" s="126">
        <f>IFERROR(Q188/Q186,0)</f>
        <v/>
      </c>
    </row>
    <row r="189">
      <c r="A189" s="89">
        <f>Stammdaten!A69</f>
        <v/>
      </c>
      <c r="B189" s="67">
        <f>Stammdaten!B69</f>
        <v/>
      </c>
      <c r="C189" s="67">
        <f>Stammdaten!C69</f>
        <v/>
      </c>
      <c r="D189" s="123" t="inlineStr">
        <is>
          <t>Verrechnung</t>
        </is>
      </c>
      <c r="E189" s="58" t="n">
        <v>6640</v>
      </c>
      <c r="F189" s="58" t="n">
        <v>6641.78</v>
      </c>
      <c r="G189" s="58" t="n">
        <v>6611.02</v>
      </c>
      <c r="H189" s="58" t="n">
        <v>6568.24</v>
      </c>
      <c r="I189" s="58" t="n">
        <v>6639.33</v>
      </c>
      <c r="J189" s="58" t="n">
        <v>6390.02</v>
      </c>
      <c r="K189" s="58" t="n">
        <v>6242.9</v>
      </c>
      <c r="L189" s="58" t="n">
        <v>6471.75</v>
      </c>
      <c r="M189" s="58" t="n">
        <v>6487.17</v>
      </c>
      <c r="N189" s="58" t="n">
        <v>6707.27</v>
      </c>
      <c r="O189" s="58" t="n">
        <v>6473.28</v>
      </c>
      <c r="P189" s="58" t="n">
        <v>6073.81</v>
      </c>
      <c r="Q189" s="28">
        <f>SUM(E189:P189)</f>
        <v/>
      </c>
    </row>
    <row r="190">
      <c r="A190" s="89">
        <f>Stammdaten!A69</f>
        <v/>
      </c>
      <c r="B190" s="67">
        <f>Stammdaten!B69</f>
        <v/>
      </c>
      <c r="C190" s="67">
        <f>Stammdaten!C69</f>
        <v/>
      </c>
      <c r="D190" s="124" t="inlineStr">
        <is>
          <t>Selbstkosten</t>
        </is>
      </c>
      <c r="E190" s="58" t="n">
        <v>4792.36</v>
      </c>
      <c r="F190" s="58" t="n">
        <v>4804.1</v>
      </c>
      <c r="G190" s="58" t="n">
        <v>4813.5</v>
      </c>
      <c r="H190" s="58" t="n">
        <v>4945.29</v>
      </c>
      <c r="I190" s="58" t="n">
        <v>4971.71</v>
      </c>
      <c r="J190" s="58" t="n">
        <v>4786.96</v>
      </c>
      <c r="K190" s="58" t="n">
        <v>4737.91</v>
      </c>
      <c r="L190" s="58" t="n">
        <v>4820.09</v>
      </c>
      <c r="M190" s="58" t="n">
        <v>4709.39</v>
      </c>
      <c r="N190" s="58" t="n">
        <v>4912.31</v>
      </c>
      <c r="O190" s="58" t="n">
        <v>4962</v>
      </c>
      <c r="P190" s="58" t="n">
        <v>4612.65</v>
      </c>
      <c r="Q190" s="28">
        <f>SUM(E190:P190)</f>
        <v/>
      </c>
    </row>
    <row r="191">
      <c r="A191" s="136">
        <f>Stammdaten!A69</f>
        <v/>
      </c>
      <c r="B191" s="137">
        <f>Stammdaten!B69</f>
        <v/>
      </c>
      <c r="C191" s="137">
        <f>Stammdaten!C69</f>
        <v/>
      </c>
      <c r="D191" s="138" t="inlineStr">
        <is>
          <t>DB1</t>
        </is>
      </c>
      <c r="E191" s="132">
        <f>E189-E190-Rückstellungen!D69-Rückstellungen!Q69-Rückstellungen!AD69</f>
        <v/>
      </c>
      <c r="F191" s="132">
        <f>F189-F190-Rückstellungen!E69-Rückstellungen!R69-Rückstellungen!AE69</f>
        <v/>
      </c>
      <c r="G191" s="132">
        <f>G189-G190-Rückstellungen!F69-Rückstellungen!S69-Rückstellungen!AF69</f>
        <v/>
      </c>
      <c r="H191" s="132">
        <f>H189-H190-Rückstellungen!G69-Rückstellungen!T69-Rückstellungen!AG69</f>
        <v/>
      </c>
      <c r="I191" s="132">
        <f>I189-I190-Rückstellungen!H69-Rückstellungen!U69-Rückstellungen!AH69</f>
        <v/>
      </c>
      <c r="J191" s="132">
        <f>J189-J190-Rückstellungen!I69-Rückstellungen!V69-Rückstellungen!AI69</f>
        <v/>
      </c>
      <c r="K191" s="132">
        <f>K189-K190-Rückstellungen!J69-Rückstellungen!W69-Rückstellungen!AJ69</f>
        <v/>
      </c>
      <c r="L191" s="132">
        <f>L189-L190-Rückstellungen!K69-Rückstellungen!X69-Rückstellungen!AK69</f>
        <v/>
      </c>
      <c r="M191" s="132">
        <f>M189-M190-Rückstellungen!L69-Rückstellungen!Y69-Rückstellungen!AL69</f>
        <v/>
      </c>
      <c r="N191" s="132">
        <f>N189-N190-Rückstellungen!M69-Rückstellungen!Z69-Rückstellungen!AM69</f>
        <v/>
      </c>
      <c r="O191" s="132">
        <f>O189-O190-Rückstellungen!N69-Rückstellungen!AA69-Rückstellungen!AN69</f>
        <v/>
      </c>
      <c r="P191" s="132">
        <f>P189-P190-Rückstellungen!O69-Rückstellungen!AB69-Rückstellungen!AO69</f>
        <v/>
      </c>
      <c r="Q191" s="133">
        <f>SUM(E191:P191)</f>
        <v/>
      </c>
      <c r="R191" s="134">
        <f>IFERROR(Q191/Q189,0)</f>
        <v/>
      </c>
    </row>
    <row r="192">
      <c r="A192" s="89">
        <f>Stammdaten!A70</f>
        <v/>
      </c>
      <c r="B192" s="67">
        <f>Stammdaten!B70</f>
        <v/>
      </c>
      <c r="C192" s="67">
        <f>Stammdaten!C70</f>
        <v/>
      </c>
      <c r="D192" s="123" t="inlineStr">
        <is>
          <t>Verrechnung</t>
        </is>
      </c>
      <c r="E192" s="58" t="n">
        <v>3894.05</v>
      </c>
      <c r="F192" s="58" t="n">
        <v>4110.65</v>
      </c>
      <c r="G192" s="58" t="n">
        <v>3920.7</v>
      </c>
      <c r="H192" s="58" t="n">
        <v>3989.47</v>
      </c>
      <c r="I192" s="58" t="n">
        <v>4178.78</v>
      </c>
      <c r="J192" s="58" t="n">
        <v>3924.14</v>
      </c>
      <c r="K192" s="58" t="n">
        <v>3709.43</v>
      </c>
      <c r="L192" s="58" t="n">
        <v>4161.01</v>
      </c>
      <c r="M192" s="58" t="n">
        <v>4018.78</v>
      </c>
      <c r="N192" s="58" t="n">
        <v>4124.74</v>
      </c>
      <c r="O192" s="58" t="n">
        <v>4037.61</v>
      </c>
      <c r="P192" s="58" t="n">
        <v>3852.25</v>
      </c>
      <c r="Q192" s="28">
        <f>SUM(E192:P192)</f>
        <v/>
      </c>
    </row>
    <row r="193">
      <c r="A193" s="89">
        <f>Stammdaten!A70</f>
        <v/>
      </c>
      <c r="B193" s="67">
        <f>Stammdaten!B70</f>
        <v/>
      </c>
      <c r="C193" s="67">
        <f>Stammdaten!C70</f>
        <v/>
      </c>
      <c r="D193" s="124" t="inlineStr">
        <is>
          <t>Selbstkosten</t>
        </is>
      </c>
      <c r="E193" s="58" t="n">
        <v>1939.93</v>
      </c>
      <c r="F193" s="58" t="n">
        <v>2109.28</v>
      </c>
      <c r="G193" s="58" t="n">
        <v>1935.09</v>
      </c>
      <c r="H193" s="58" t="n">
        <v>1983.27</v>
      </c>
      <c r="I193" s="58" t="n">
        <v>2098.76</v>
      </c>
      <c r="J193" s="58" t="n">
        <v>2004.03</v>
      </c>
      <c r="K193" s="58" t="n">
        <v>1821.57</v>
      </c>
      <c r="L193" s="58" t="n">
        <v>2145.01</v>
      </c>
      <c r="M193" s="58" t="n">
        <v>2068.99</v>
      </c>
      <c r="N193" s="58" t="n">
        <v>2142.08</v>
      </c>
      <c r="O193" s="58" t="n">
        <v>2041.43</v>
      </c>
      <c r="P193" s="58" t="n">
        <v>1996.47</v>
      </c>
      <c r="Q193" s="28">
        <f>SUM(E193:P193)</f>
        <v/>
      </c>
    </row>
    <row r="194">
      <c r="A194" s="89">
        <f>Stammdaten!A70</f>
        <v/>
      </c>
      <c r="B194" s="67">
        <f>Stammdaten!B70</f>
        <v/>
      </c>
      <c r="C194" s="67">
        <f>Stammdaten!C70</f>
        <v/>
      </c>
      <c r="D194" s="125" t="inlineStr">
        <is>
          <t>DB1</t>
        </is>
      </c>
      <c r="E194" s="40">
        <f>E192-E193-Rückstellungen!D70-Rückstellungen!Q70-Rückstellungen!AD70</f>
        <v/>
      </c>
      <c r="F194" s="40">
        <f>F192-F193-Rückstellungen!E70-Rückstellungen!R70-Rückstellungen!AE70</f>
        <v/>
      </c>
      <c r="G194" s="40">
        <f>G192-G193-Rückstellungen!F70-Rückstellungen!S70-Rückstellungen!AF70</f>
        <v/>
      </c>
      <c r="H194" s="40">
        <f>H192-H193-Rückstellungen!G70-Rückstellungen!T70-Rückstellungen!AG70</f>
        <v/>
      </c>
      <c r="I194" s="40">
        <f>I192-I193-Rückstellungen!H70-Rückstellungen!U70-Rückstellungen!AH70</f>
        <v/>
      </c>
      <c r="J194" s="40">
        <f>J192-J193-Rückstellungen!I70-Rückstellungen!V70-Rückstellungen!AI70</f>
        <v/>
      </c>
      <c r="K194" s="40">
        <f>K192-K193-Rückstellungen!J70-Rückstellungen!W70-Rückstellungen!AJ70</f>
        <v/>
      </c>
      <c r="L194" s="40">
        <f>L192-L193-Rückstellungen!K70-Rückstellungen!X70-Rückstellungen!AK70</f>
        <v/>
      </c>
      <c r="M194" s="40">
        <f>M192-M193-Rückstellungen!L70-Rückstellungen!Y70-Rückstellungen!AL70</f>
        <v/>
      </c>
      <c r="N194" s="40">
        <f>N192-N193-Rückstellungen!M70-Rückstellungen!Z70-Rückstellungen!AM70</f>
        <v/>
      </c>
      <c r="O194" s="40">
        <f>O192-O193-Rückstellungen!N70-Rückstellungen!AA70-Rückstellungen!AN70</f>
        <v/>
      </c>
      <c r="P194" s="40">
        <f>P192-P193-Rückstellungen!O70-Rückstellungen!AB70-Rückstellungen!AO70</f>
        <v/>
      </c>
      <c r="Q194" s="59">
        <f>SUM(E194:P194)</f>
        <v/>
      </c>
      <c r="R194" s="126">
        <f>IFERROR(Q194/Q192,0)</f>
        <v/>
      </c>
    </row>
    <row r="195">
      <c r="A195" s="89">
        <f>Stammdaten!A71</f>
        <v/>
      </c>
      <c r="B195" s="67">
        <f>Stammdaten!B71</f>
        <v/>
      </c>
      <c r="C195" s="67">
        <f>Stammdaten!C71</f>
        <v/>
      </c>
      <c r="D195" s="123" t="inlineStr">
        <is>
          <t>Verrechnung</t>
        </is>
      </c>
      <c r="E195" s="58" t="n">
        <v>3986.76</v>
      </c>
      <c r="F195" s="58" t="n">
        <v>4021.27</v>
      </c>
      <c r="G195" s="58" t="n">
        <v>4081.77</v>
      </c>
      <c r="H195" s="58" t="n">
        <v>3915.69</v>
      </c>
      <c r="I195" s="58" t="n">
        <v>3841.62</v>
      </c>
      <c r="J195" s="58" t="n">
        <v>3787.95</v>
      </c>
      <c r="K195" s="58" t="n">
        <v>3831.12</v>
      </c>
      <c r="L195" s="58" t="n">
        <v>3758.25</v>
      </c>
      <c r="M195" s="58" t="n">
        <v>4035.67</v>
      </c>
      <c r="N195" s="58" t="n">
        <v>4068.2</v>
      </c>
      <c r="O195" s="58" t="n">
        <v>3902.29</v>
      </c>
      <c r="P195" s="58" t="n">
        <v>3687.77</v>
      </c>
      <c r="Q195" s="28">
        <f>SUM(E195:P195)</f>
        <v/>
      </c>
    </row>
    <row r="196">
      <c r="A196" s="89">
        <f>Stammdaten!A71</f>
        <v/>
      </c>
      <c r="B196" s="67">
        <f>Stammdaten!B71</f>
        <v/>
      </c>
      <c r="C196" s="67">
        <f>Stammdaten!C71</f>
        <v/>
      </c>
      <c r="D196" s="124" t="inlineStr">
        <is>
          <t>Selbstkosten</t>
        </is>
      </c>
      <c r="E196" s="58" t="n">
        <v>2185.71</v>
      </c>
      <c r="F196" s="58" t="n">
        <v>2136.82</v>
      </c>
      <c r="G196" s="58" t="n">
        <v>2233.96</v>
      </c>
      <c r="H196" s="58" t="n">
        <v>2069.79</v>
      </c>
      <c r="I196" s="58" t="n">
        <v>2062.78</v>
      </c>
      <c r="J196" s="58" t="n">
        <v>2077.04</v>
      </c>
      <c r="K196" s="58" t="n">
        <v>2087.84</v>
      </c>
      <c r="L196" s="58" t="n">
        <v>2029.06</v>
      </c>
      <c r="M196" s="58" t="n">
        <v>2087.09</v>
      </c>
      <c r="N196" s="58" t="n">
        <v>2125.4</v>
      </c>
      <c r="O196" s="58" t="n">
        <v>2160.02</v>
      </c>
      <c r="P196" s="58" t="n">
        <v>2029.94</v>
      </c>
      <c r="Q196" s="28">
        <f>SUM(E196:P196)</f>
        <v/>
      </c>
    </row>
    <row r="197">
      <c r="A197" s="89">
        <f>Stammdaten!A71</f>
        <v/>
      </c>
      <c r="B197" s="67">
        <f>Stammdaten!B71</f>
        <v/>
      </c>
      <c r="C197" s="67">
        <f>Stammdaten!C71</f>
        <v/>
      </c>
      <c r="D197" s="125" t="inlineStr">
        <is>
          <t>DB1</t>
        </is>
      </c>
      <c r="E197" s="40">
        <f>E195-E196-Rückstellungen!D71-Rückstellungen!Q71-Rückstellungen!AD71</f>
        <v/>
      </c>
      <c r="F197" s="40">
        <f>F195-F196-Rückstellungen!E71-Rückstellungen!R71-Rückstellungen!AE71</f>
        <v/>
      </c>
      <c r="G197" s="40">
        <f>G195-G196-Rückstellungen!F71-Rückstellungen!S71-Rückstellungen!AF71</f>
        <v/>
      </c>
      <c r="H197" s="40">
        <f>H195-H196-Rückstellungen!G71-Rückstellungen!T71-Rückstellungen!AG71</f>
        <v/>
      </c>
      <c r="I197" s="40">
        <f>I195-I196-Rückstellungen!H71-Rückstellungen!U71-Rückstellungen!AH71</f>
        <v/>
      </c>
      <c r="J197" s="40">
        <f>J195-J196-Rückstellungen!I71-Rückstellungen!V71-Rückstellungen!AI71</f>
        <v/>
      </c>
      <c r="K197" s="40">
        <f>K195-K196-Rückstellungen!J71-Rückstellungen!W71-Rückstellungen!AJ71</f>
        <v/>
      </c>
      <c r="L197" s="40">
        <f>L195-L196-Rückstellungen!K71-Rückstellungen!X71-Rückstellungen!AK71</f>
        <v/>
      </c>
      <c r="M197" s="40">
        <f>M195-M196-Rückstellungen!L71-Rückstellungen!Y71-Rückstellungen!AL71</f>
        <v/>
      </c>
      <c r="N197" s="40">
        <f>N195-N196-Rückstellungen!M71-Rückstellungen!Z71-Rückstellungen!AM71</f>
        <v/>
      </c>
      <c r="O197" s="40">
        <f>O195-O196-Rückstellungen!N71-Rückstellungen!AA71-Rückstellungen!AN71</f>
        <v/>
      </c>
      <c r="P197" s="40">
        <f>P195-P196-Rückstellungen!O71-Rückstellungen!AB71-Rückstellungen!AO71</f>
        <v/>
      </c>
      <c r="Q197" s="59">
        <f>SUM(E197:P197)</f>
        <v/>
      </c>
      <c r="R197" s="126">
        <f>IFERROR(Q197/Q195,0)</f>
        <v/>
      </c>
    </row>
    <row r="198">
      <c r="A198" s="89">
        <f>Stammdaten!A72</f>
        <v/>
      </c>
      <c r="B198" s="67">
        <f>Stammdaten!B72</f>
        <v/>
      </c>
      <c r="C198" s="67">
        <f>Stammdaten!C72</f>
        <v/>
      </c>
      <c r="D198" s="123" t="inlineStr">
        <is>
          <t>Verrechnung</t>
        </is>
      </c>
      <c r="E198" s="58" t="n">
        <v>6672.68</v>
      </c>
      <c r="F198" s="58" t="n">
        <v>6374.31</v>
      </c>
      <c r="G198" s="58" t="n">
        <v>6550.08</v>
      </c>
      <c r="H198" s="58" t="n">
        <v>6195.89</v>
      </c>
      <c r="I198" s="58" t="n">
        <v>6585.62</v>
      </c>
      <c r="J198" s="58" t="n">
        <v>6414.08</v>
      </c>
      <c r="K198" s="58" t="n">
        <v>5417.77</v>
      </c>
      <c r="L198" s="58" t="n">
        <v>6509.14</v>
      </c>
      <c r="M198" s="58" t="n">
        <v>6423.23</v>
      </c>
      <c r="N198" s="58" t="n">
        <v>6364.56</v>
      </c>
      <c r="O198" s="58" t="n">
        <v>6663.28</v>
      </c>
      <c r="P198" s="58" t="n">
        <v>5714.6</v>
      </c>
      <c r="Q198" s="28">
        <f>SUM(E198:P198)</f>
        <v/>
      </c>
    </row>
    <row r="199">
      <c r="A199" s="89">
        <f>Stammdaten!A72</f>
        <v/>
      </c>
      <c r="B199" s="67">
        <f>Stammdaten!B72</f>
        <v/>
      </c>
      <c r="C199" s="67">
        <f>Stammdaten!C72</f>
        <v/>
      </c>
      <c r="D199" s="124" t="inlineStr">
        <is>
          <t>Selbstkosten</t>
        </is>
      </c>
      <c r="E199" s="58" t="n">
        <v>3672.96</v>
      </c>
      <c r="F199" s="58" t="n">
        <v>3505.98</v>
      </c>
      <c r="G199" s="58" t="n">
        <v>3749.06</v>
      </c>
      <c r="H199" s="58" t="n">
        <v>3540.64</v>
      </c>
      <c r="I199" s="58" t="n">
        <v>3797.03</v>
      </c>
      <c r="J199" s="58" t="n">
        <v>3530.07</v>
      </c>
      <c r="K199" s="58" t="n">
        <v>2978.9</v>
      </c>
      <c r="L199" s="58" t="n">
        <v>3692.38</v>
      </c>
      <c r="M199" s="58" t="n">
        <v>3514.04</v>
      </c>
      <c r="N199" s="58" t="n">
        <v>3510.2</v>
      </c>
      <c r="O199" s="58" t="n">
        <v>3825.72</v>
      </c>
      <c r="P199" s="58" t="n">
        <v>3144.69</v>
      </c>
      <c r="Q199" s="28">
        <f>SUM(E199:P199)</f>
        <v/>
      </c>
    </row>
    <row r="200">
      <c r="A200" s="89">
        <f>Stammdaten!A72</f>
        <v/>
      </c>
      <c r="B200" s="67">
        <f>Stammdaten!B72</f>
        <v/>
      </c>
      <c r="C200" s="67">
        <f>Stammdaten!C72</f>
        <v/>
      </c>
      <c r="D200" s="125" t="inlineStr">
        <is>
          <t>DB1</t>
        </is>
      </c>
      <c r="E200" s="40">
        <f>E198-E199-Rückstellungen!D72-Rückstellungen!Q72-Rückstellungen!AD72</f>
        <v/>
      </c>
      <c r="F200" s="40">
        <f>F198-F199-Rückstellungen!E72-Rückstellungen!R72-Rückstellungen!AE72</f>
        <v/>
      </c>
      <c r="G200" s="40">
        <f>G198-G199-Rückstellungen!F72-Rückstellungen!S72-Rückstellungen!AF72</f>
        <v/>
      </c>
      <c r="H200" s="40">
        <f>H198-H199-Rückstellungen!G72-Rückstellungen!T72-Rückstellungen!AG72</f>
        <v/>
      </c>
      <c r="I200" s="40">
        <f>I198-I199-Rückstellungen!H72-Rückstellungen!U72-Rückstellungen!AH72</f>
        <v/>
      </c>
      <c r="J200" s="40">
        <f>J198-J199-Rückstellungen!I72-Rückstellungen!V72-Rückstellungen!AI72</f>
        <v/>
      </c>
      <c r="K200" s="40">
        <f>K198-K199-Rückstellungen!J72-Rückstellungen!W72-Rückstellungen!AJ72</f>
        <v/>
      </c>
      <c r="L200" s="40">
        <f>L198-L199-Rückstellungen!K72-Rückstellungen!X72-Rückstellungen!AK72</f>
        <v/>
      </c>
      <c r="M200" s="40">
        <f>M198-M199-Rückstellungen!L72-Rückstellungen!Y72-Rückstellungen!AL72</f>
        <v/>
      </c>
      <c r="N200" s="40">
        <f>N198-N199-Rückstellungen!M72-Rückstellungen!Z72-Rückstellungen!AM72</f>
        <v/>
      </c>
      <c r="O200" s="40">
        <f>O198-O199-Rückstellungen!N72-Rückstellungen!AA72-Rückstellungen!AN72</f>
        <v/>
      </c>
      <c r="P200" s="40">
        <f>P198-P199-Rückstellungen!O72-Rückstellungen!AB72-Rückstellungen!AO72</f>
        <v/>
      </c>
      <c r="Q200" s="59">
        <f>SUM(E200:P200)</f>
        <v/>
      </c>
      <c r="R200" s="126">
        <f>IFERROR(Q200/Q198,0)</f>
        <v/>
      </c>
    </row>
    <row r="201">
      <c r="A201" s="89">
        <f>Stammdaten!A73</f>
        <v/>
      </c>
      <c r="B201" s="67">
        <f>Stammdaten!B73</f>
        <v/>
      </c>
      <c r="C201" s="67">
        <f>Stammdaten!C73</f>
        <v/>
      </c>
      <c r="D201" s="123" t="inlineStr">
        <is>
          <t>Verrechnung</t>
        </is>
      </c>
      <c r="E201" s="58" t="n">
        <v>6098.32</v>
      </c>
      <c r="F201" s="58" t="n">
        <v>6384.23</v>
      </c>
      <c r="G201" s="58" t="n">
        <v>6288.69</v>
      </c>
      <c r="H201" s="58" t="n">
        <v>5969.94</v>
      </c>
      <c r="I201" s="58" t="n">
        <v>6271.31</v>
      </c>
      <c r="J201" s="58" t="n">
        <v>6127.2</v>
      </c>
      <c r="K201" s="58" t="n">
        <v>6055.52</v>
      </c>
      <c r="L201" s="58" t="n">
        <v>6177.92</v>
      </c>
      <c r="M201" s="58" t="n">
        <v>6430.51</v>
      </c>
      <c r="N201" s="58" t="n">
        <v>6000.39</v>
      </c>
      <c r="O201" s="58" t="n">
        <v>6127.39</v>
      </c>
      <c r="P201" s="58" t="n">
        <v>5735.43</v>
      </c>
      <c r="Q201" s="28">
        <f>SUM(E201:P201)</f>
        <v/>
      </c>
    </row>
    <row r="202">
      <c r="A202" s="89">
        <f>Stammdaten!A73</f>
        <v/>
      </c>
      <c r="B202" s="67">
        <f>Stammdaten!B73</f>
        <v/>
      </c>
      <c r="C202" s="67">
        <f>Stammdaten!C73</f>
        <v/>
      </c>
      <c r="D202" s="124" t="inlineStr">
        <is>
          <t>Selbstkosten</t>
        </is>
      </c>
      <c r="E202" s="58" t="n">
        <v>3704.42</v>
      </c>
      <c r="F202" s="58" t="n">
        <v>4012.02</v>
      </c>
      <c r="G202" s="58" t="n">
        <v>3899.04</v>
      </c>
      <c r="H202" s="58" t="n">
        <v>3672.42</v>
      </c>
      <c r="I202" s="58" t="n">
        <v>3751.02</v>
      </c>
      <c r="J202" s="58" t="n">
        <v>3677.62</v>
      </c>
      <c r="K202" s="58" t="n">
        <v>3738.7</v>
      </c>
      <c r="L202" s="58" t="n">
        <v>3709.16</v>
      </c>
      <c r="M202" s="58" t="n">
        <v>3839.63</v>
      </c>
      <c r="N202" s="58" t="n">
        <v>3733.82</v>
      </c>
      <c r="O202" s="58" t="n">
        <v>3734.28</v>
      </c>
      <c r="P202" s="58" t="n">
        <v>3548.06</v>
      </c>
      <c r="Q202" s="28">
        <f>SUM(E202:P202)</f>
        <v/>
      </c>
    </row>
    <row r="203">
      <c r="A203" s="89">
        <f>Stammdaten!A73</f>
        <v/>
      </c>
      <c r="B203" s="67">
        <f>Stammdaten!B73</f>
        <v/>
      </c>
      <c r="C203" s="67">
        <f>Stammdaten!C73</f>
        <v/>
      </c>
      <c r="D203" s="125" t="inlineStr">
        <is>
          <t>DB1</t>
        </is>
      </c>
      <c r="E203" s="40">
        <f>E201-E202-Rückstellungen!D73-Rückstellungen!Q73-Rückstellungen!AD73</f>
        <v/>
      </c>
      <c r="F203" s="40">
        <f>F201-F202-Rückstellungen!E73-Rückstellungen!R73-Rückstellungen!AE73</f>
        <v/>
      </c>
      <c r="G203" s="40">
        <f>G201-G202-Rückstellungen!F73-Rückstellungen!S73-Rückstellungen!AF73</f>
        <v/>
      </c>
      <c r="H203" s="40">
        <f>H201-H202-Rückstellungen!G73-Rückstellungen!T73-Rückstellungen!AG73</f>
        <v/>
      </c>
      <c r="I203" s="40">
        <f>I201-I202-Rückstellungen!H73-Rückstellungen!U73-Rückstellungen!AH73</f>
        <v/>
      </c>
      <c r="J203" s="40">
        <f>J201-J202-Rückstellungen!I73-Rückstellungen!V73-Rückstellungen!AI73</f>
        <v/>
      </c>
      <c r="K203" s="40">
        <f>K201-K202-Rückstellungen!J73-Rückstellungen!W73-Rückstellungen!AJ73</f>
        <v/>
      </c>
      <c r="L203" s="40">
        <f>L201-L202-Rückstellungen!K73-Rückstellungen!X73-Rückstellungen!AK73</f>
        <v/>
      </c>
      <c r="M203" s="40">
        <f>M201-M202-Rückstellungen!L73-Rückstellungen!Y73-Rückstellungen!AL73</f>
        <v/>
      </c>
      <c r="N203" s="40">
        <f>N201-N202-Rückstellungen!M73-Rückstellungen!Z73-Rückstellungen!AM73</f>
        <v/>
      </c>
      <c r="O203" s="40">
        <f>O201-O202-Rückstellungen!N73-Rückstellungen!AA73-Rückstellungen!AN73</f>
        <v/>
      </c>
      <c r="P203" s="40">
        <f>P201-P202-Rückstellungen!O73-Rückstellungen!AB73-Rückstellungen!AO73</f>
        <v/>
      </c>
      <c r="Q203" s="59">
        <f>SUM(E203:P203)</f>
        <v/>
      </c>
      <c r="R203" s="126">
        <f>IFERROR(Q203/Q201,0)</f>
        <v/>
      </c>
    </row>
    <row r="204">
      <c r="A204" s="89">
        <f>Stammdaten!A74</f>
        <v/>
      </c>
      <c r="B204" s="67">
        <f>Stammdaten!B74</f>
        <v/>
      </c>
      <c r="C204" s="67">
        <f>Stammdaten!C74</f>
        <v/>
      </c>
      <c r="D204" s="123" t="inlineStr">
        <is>
          <t>Verrechnung</t>
        </is>
      </c>
      <c r="E204" s="58" t="n">
        <v>4331.05</v>
      </c>
      <c r="F204" s="58" t="n">
        <v>4228.98</v>
      </c>
      <c r="G204" s="58" t="n">
        <v>4564.73</v>
      </c>
      <c r="H204" s="58" t="n">
        <v>4458.39</v>
      </c>
      <c r="I204" s="58" t="n">
        <v>4373.3</v>
      </c>
      <c r="J204" s="58" t="n">
        <v>4528.34</v>
      </c>
      <c r="K204" s="58" t="n">
        <v>3840.87</v>
      </c>
      <c r="L204" s="58" t="n">
        <v>4470.71</v>
      </c>
      <c r="M204" s="58" t="n">
        <v>4569.83</v>
      </c>
      <c r="N204" s="58" t="n">
        <v>4361.17</v>
      </c>
      <c r="O204" s="58" t="n">
        <v>4371.35</v>
      </c>
      <c r="P204" s="58" t="n">
        <v>3993.23</v>
      </c>
      <c r="Q204" s="28">
        <f>SUM(E204:P204)</f>
        <v/>
      </c>
    </row>
    <row r="205">
      <c r="A205" s="89">
        <f>Stammdaten!A74</f>
        <v/>
      </c>
      <c r="B205" s="67">
        <f>Stammdaten!B74</f>
        <v/>
      </c>
      <c r="C205" s="67">
        <f>Stammdaten!C74</f>
        <v/>
      </c>
      <c r="D205" s="124" t="inlineStr">
        <is>
          <t>Selbstkosten</t>
        </is>
      </c>
      <c r="E205" s="58" t="n">
        <v>2439.54</v>
      </c>
      <c r="F205" s="58" t="n">
        <v>2366.88</v>
      </c>
      <c r="G205" s="58" t="n">
        <v>2443.32</v>
      </c>
      <c r="H205" s="58" t="n">
        <v>2383.55</v>
      </c>
      <c r="I205" s="58" t="n">
        <v>2414.22</v>
      </c>
      <c r="J205" s="58" t="n">
        <v>2525.25</v>
      </c>
      <c r="K205" s="58" t="n">
        <v>2061.08</v>
      </c>
      <c r="L205" s="58" t="n">
        <v>2370.12</v>
      </c>
      <c r="M205" s="58" t="n">
        <v>2412.42</v>
      </c>
      <c r="N205" s="58" t="n">
        <v>2352.79</v>
      </c>
      <c r="O205" s="58" t="n">
        <v>2445.22</v>
      </c>
      <c r="P205" s="58" t="n">
        <v>2132.45</v>
      </c>
      <c r="Q205" s="28">
        <f>SUM(E205:P205)</f>
        <v/>
      </c>
    </row>
    <row r="206">
      <c r="A206" s="89">
        <f>Stammdaten!A74</f>
        <v/>
      </c>
      <c r="B206" s="67">
        <f>Stammdaten!B74</f>
        <v/>
      </c>
      <c r="C206" s="67">
        <f>Stammdaten!C74</f>
        <v/>
      </c>
      <c r="D206" s="125" t="inlineStr">
        <is>
          <t>DB1</t>
        </is>
      </c>
      <c r="E206" s="40">
        <f>E204-E205-Rückstellungen!D74-Rückstellungen!Q74-Rückstellungen!AD74</f>
        <v/>
      </c>
      <c r="F206" s="40">
        <f>F204-F205-Rückstellungen!E74-Rückstellungen!R74-Rückstellungen!AE74</f>
        <v/>
      </c>
      <c r="G206" s="40">
        <f>G204-G205-Rückstellungen!F74-Rückstellungen!S74-Rückstellungen!AF74</f>
        <v/>
      </c>
      <c r="H206" s="40">
        <f>H204-H205-Rückstellungen!G74-Rückstellungen!T74-Rückstellungen!AG74</f>
        <v/>
      </c>
      <c r="I206" s="40">
        <f>I204-I205-Rückstellungen!H74-Rückstellungen!U74-Rückstellungen!AH74</f>
        <v/>
      </c>
      <c r="J206" s="40">
        <f>J204-J205-Rückstellungen!I74-Rückstellungen!V74-Rückstellungen!AI74</f>
        <v/>
      </c>
      <c r="K206" s="40">
        <f>K204-K205-Rückstellungen!J74-Rückstellungen!W74-Rückstellungen!AJ74</f>
        <v/>
      </c>
      <c r="L206" s="40">
        <f>L204-L205-Rückstellungen!K74-Rückstellungen!X74-Rückstellungen!AK74</f>
        <v/>
      </c>
      <c r="M206" s="40">
        <f>M204-M205-Rückstellungen!L74-Rückstellungen!Y74-Rückstellungen!AL74</f>
        <v/>
      </c>
      <c r="N206" s="40">
        <f>N204-N205-Rückstellungen!M74-Rückstellungen!Z74-Rückstellungen!AM74</f>
        <v/>
      </c>
      <c r="O206" s="40">
        <f>O204-O205-Rückstellungen!N74-Rückstellungen!AA74-Rückstellungen!AN74</f>
        <v/>
      </c>
      <c r="P206" s="40">
        <f>P204-P205-Rückstellungen!O74-Rückstellungen!AB74-Rückstellungen!AO74</f>
        <v/>
      </c>
      <c r="Q206" s="59">
        <f>SUM(E206:P206)</f>
        <v/>
      </c>
      <c r="R206" s="126">
        <f>IFERROR(Q206/Q204,0)</f>
        <v/>
      </c>
    </row>
    <row r="207">
      <c r="A207" s="89">
        <f>Stammdaten!A75</f>
        <v/>
      </c>
      <c r="B207" s="67">
        <f>Stammdaten!B75</f>
        <v/>
      </c>
      <c r="C207" s="67">
        <f>Stammdaten!C75</f>
        <v/>
      </c>
      <c r="D207" s="123" t="inlineStr">
        <is>
          <t>Verrechnung</t>
        </is>
      </c>
      <c r="E207" s="58" t="n">
        <v>5172.94</v>
      </c>
      <c r="F207" s="58" t="n">
        <v>5002.12</v>
      </c>
      <c r="G207" s="58" t="n">
        <v>5339.02</v>
      </c>
      <c r="H207" s="58" t="n">
        <v>5034.64</v>
      </c>
      <c r="I207" s="58" t="n">
        <v>5255.56</v>
      </c>
      <c r="J207" s="58" t="n">
        <v>5087.86</v>
      </c>
      <c r="K207" s="58" t="n">
        <v>4548.03</v>
      </c>
      <c r="L207" s="58" t="n">
        <v>4939.28</v>
      </c>
      <c r="M207" s="58" t="n">
        <v>5350.8</v>
      </c>
      <c r="N207" s="58" t="n">
        <v>5053.15</v>
      </c>
      <c r="O207" s="58" t="n">
        <v>5253.77</v>
      </c>
      <c r="P207" s="58" t="n">
        <v>4678.1</v>
      </c>
      <c r="Q207" s="28">
        <f>SUM(E207:P207)</f>
        <v/>
      </c>
    </row>
    <row r="208">
      <c r="A208" s="89">
        <f>Stammdaten!A75</f>
        <v/>
      </c>
      <c r="B208" s="67">
        <f>Stammdaten!B75</f>
        <v/>
      </c>
      <c r="C208" s="67">
        <f>Stammdaten!C75</f>
        <v/>
      </c>
      <c r="D208" s="124" t="inlineStr">
        <is>
          <t>Selbstkosten</t>
        </is>
      </c>
      <c r="E208" s="58" t="n">
        <v>2307.9</v>
      </c>
      <c r="F208" s="58" t="n">
        <v>2377.9</v>
      </c>
      <c r="G208" s="58" t="n">
        <v>2447.97</v>
      </c>
      <c r="H208" s="58" t="n">
        <v>2359.36</v>
      </c>
      <c r="I208" s="58" t="n">
        <v>2414.03</v>
      </c>
      <c r="J208" s="58" t="n">
        <v>2372.51</v>
      </c>
      <c r="K208" s="58" t="n">
        <v>2039.3</v>
      </c>
      <c r="L208" s="58" t="n">
        <v>2347.76</v>
      </c>
      <c r="M208" s="58" t="n">
        <v>2411.62</v>
      </c>
      <c r="N208" s="58" t="n">
        <v>2347.52</v>
      </c>
      <c r="O208" s="58" t="n">
        <v>2451.44</v>
      </c>
      <c r="P208" s="58" t="n">
        <v>2150.88</v>
      </c>
      <c r="Q208" s="28">
        <f>SUM(E208:P208)</f>
        <v/>
      </c>
    </row>
    <row r="209">
      <c r="A209" s="89">
        <f>Stammdaten!A75</f>
        <v/>
      </c>
      <c r="B209" s="67">
        <f>Stammdaten!B75</f>
        <v/>
      </c>
      <c r="C209" s="67">
        <f>Stammdaten!C75</f>
        <v/>
      </c>
      <c r="D209" s="125" t="inlineStr">
        <is>
          <t>DB1</t>
        </is>
      </c>
      <c r="E209" s="40">
        <f>E207-E208-Rückstellungen!D75-Rückstellungen!Q75-Rückstellungen!AD75</f>
        <v/>
      </c>
      <c r="F209" s="40">
        <f>F207-F208-Rückstellungen!E75-Rückstellungen!R75-Rückstellungen!AE75</f>
        <v/>
      </c>
      <c r="G209" s="40">
        <f>G207-G208-Rückstellungen!F75-Rückstellungen!S75-Rückstellungen!AF75</f>
        <v/>
      </c>
      <c r="H209" s="40">
        <f>H207-H208-Rückstellungen!G75-Rückstellungen!T75-Rückstellungen!AG75</f>
        <v/>
      </c>
      <c r="I209" s="40">
        <f>I207-I208-Rückstellungen!H75-Rückstellungen!U75-Rückstellungen!AH75</f>
        <v/>
      </c>
      <c r="J209" s="40">
        <f>J207-J208-Rückstellungen!I75-Rückstellungen!V75-Rückstellungen!AI75</f>
        <v/>
      </c>
      <c r="K209" s="40">
        <f>K207-K208-Rückstellungen!J75-Rückstellungen!W75-Rückstellungen!AJ75</f>
        <v/>
      </c>
      <c r="L209" s="40">
        <f>L207-L208-Rückstellungen!K75-Rückstellungen!X75-Rückstellungen!AK75</f>
        <v/>
      </c>
      <c r="M209" s="40">
        <f>M207-M208-Rückstellungen!L75-Rückstellungen!Y75-Rückstellungen!AL75</f>
        <v/>
      </c>
      <c r="N209" s="40">
        <f>N207-N208-Rückstellungen!M75-Rückstellungen!Z75-Rückstellungen!AM75</f>
        <v/>
      </c>
      <c r="O209" s="40">
        <f>O207-O208-Rückstellungen!N75-Rückstellungen!AA75-Rückstellungen!AN75</f>
        <v/>
      </c>
      <c r="P209" s="40">
        <f>P207-P208-Rückstellungen!O75-Rückstellungen!AB75-Rückstellungen!AO75</f>
        <v/>
      </c>
      <c r="Q209" s="59">
        <f>SUM(E209:P209)</f>
        <v/>
      </c>
      <c r="R209" s="126">
        <f>IFERROR(Q209/Q207,0)</f>
        <v/>
      </c>
    </row>
    <row r="210">
      <c r="A210" s="89">
        <f>Stammdaten!A76</f>
        <v/>
      </c>
      <c r="B210" s="67">
        <f>Stammdaten!B76</f>
        <v/>
      </c>
      <c r="C210" s="67">
        <f>Stammdaten!C76</f>
        <v/>
      </c>
      <c r="D210" s="123" t="inlineStr">
        <is>
          <t>Verrechnung</t>
        </is>
      </c>
      <c r="E210" s="58" t="n">
        <v>6938.4</v>
      </c>
      <c r="F210" s="58" t="n">
        <v>6751.44</v>
      </c>
      <c r="G210" s="58" t="n">
        <v>6783.64</v>
      </c>
      <c r="H210" s="58" t="n">
        <v>6490.07</v>
      </c>
      <c r="I210" s="58" t="n">
        <v>6467.06</v>
      </c>
      <c r="J210" s="58" t="n">
        <v>6682.08</v>
      </c>
      <c r="K210" s="58" t="n">
        <v>6272.53</v>
      </c>
      <c r="L210" s="58" t="n">
        <v>6607.53</v>
      </c>
      <c r="M210" s="58" t="n">
        <v>6907.77</v>
      </c>
      <c r="N210" s="58" t="n">
        <v>6455.6</v>
      </c>
      <c r="O210" s="58" t="n">
        <v>6585.46</v>
      </c>
      <c r="P210" s="58" t="n">
        <v>5972.25</v>
      </c>
      <c r="Q210" s="28">
        <f>SUM(E210:P210)</f>
        <v/>
      </c>
    </row>
    <row r="211">
      <c r="A211" s="89">
        <f>Stammdaten!A76</f>
        <v/>
      </c>
      <c r="B211" s="67">
        <f>Stammdaten!B76</f>
        <v/>
      </c>
      <c r="C211" s="67">
        <f>Stammdaten!C76</f>
        <v/>
      </c>
      <c r="D211" s="124" t="inlineStr">
        <is>
          <t>Selbstkosten</t>
        </is>
      </c>
      <c r="E211" s="58" t="n">
        <v>3269.66</v>
      </c>
      <c r="F211" s="58" t="n">
        <v>3167.67</v>
      </c>
      <c r="G211" s="58" t="n">
        <v>3320.74</v>
      </c>
      <c r="H211" s="58" t="n">
        <v>3035.77</v>
      </c>
      <c r="I211" s="58" t="n">
        <v>3024.72</v>
      </c>
      <c r="J211" s="58" t="n">
        <v>3200.86</v>
      </c>
      <c r="K211" s="58" t="n">
        <v>2986.18</v>
      </c>
      <c r="L211" s="58" t="n">
        <v>3254.97</v>
      </c>
      <c r="M211" s="58" t="n">
        <v>3398.95</v>
      </c>
      <c r="N211" s="58" t="n">
        <v>3212.81</v>
      </c>
      <c r="O211" s="58" t="n">
        <v>3172.93</v>
      </c>
      <c r="P211" s="58" t="n">
        <v>2987.39</v>
      </c>
      <c r="Q211" s="28">
        <f>SUM(E211:P211)</f>
        <v/>
      </c>
    </row>
    <row r="212">
      <c r="A212" s="89">
        <f>Stammdaten!A76</f>
        <v/>
      </c>
      <c r="B212" s="67">
        <f>Stammdaten!B76</f>
        <v/>
      </c>
      <c r="C212" s="67">
        <f>Stammdaten!C76</f>
        <v/>
      </c>
      <c r="D212" s="125" t="inlineStr">
        <is>
          <t>DB1</t>
        </is>
      </c>
      <c r="E212" s="40">
        <f>E210-E211-Rückstellungen!D76-Rückstellungen!Q76-Rückstellungen!AD76</f>
        <v/>
      </c>
      <c r="F212" s="40">
        <f>F210-F211-Rückstellungen!E76-Rückstellungen!R76-Rückstellungen!AE76</f>
        <v/>
      </c>
      <c r="G212" s="40">
        <f>G210-G211-Rückstellungen!F76-Rückstellungen!S76-Rückstellungen!AF76</f>
        <v/>
      </c>
      <c r="H212" s="40">
        <f>H210-H211-Rückstellungen!G76-Rückstellungen!T76-Rückstellungen!AG76</f>
        <v/>
      </c>
      <c r="I212" s="40">
        <f>I210-I211-Rückstellungen!H76-Rückstellungen!U76-Rückstellungen!AH76</f>
        <v/>
      </c>
      <c r="J212" s="40">
        <f>J210-J211-Rückstellungen!I76-Rückstellungen!V76-Rückstellungen!AI76</f>
        <v/>
      </c>
      <c r="K212" s="40">
        <f>K210-K211-Rückstellungen!J76-Rückstellungen!W76-Rückstellungen!AJ76</f>
        <v/>
      </c>
      <c r="L212" s="40">
        <f>L210-L211-Rückstellungen!K76-Rückstellungen!X76-Rückstellungen!AK76</f>
        <v/>
      </c>
      <c r="M212" s="40">
        <f>M210-M211-Rückstellungen!L76-Rückstellungen!Y76-Rückstellungen!AL76</f>
        <v/>
      </c>
      <c r="N212" s="40">
        <f>N210-N211-Rückstellungen!M76-Rückstellungen!Z76-Rückstellungen!AM76</f>
        <v/>
      </c>
      <c r="O212" s="40">
        <f>O210-O211-Rückstellungen!N76-Rückstellungen!AA76-Rückstellungen!AN76</f>
        <v/>
      </c>
      <c r="P212" s="40">
        <f>P210-P211-Rückstellungen!O76-Rückstellungen!AB76-Rückstellungen!AO76</f>
        <v/>
      </c>
      <c r="Q212" s="59">
        <f>SUM(E212:P212)</f>
        <v/>
      </c>
      <c r="R212" s="126">
        <f>IFERROR(Q212/Q210,0)</f>
        <v/>
      </c>
    </row>
    <row r="213">
      <c r="A213" s="89">
        <f>Stammdaten!A77</f>
        <v/>
      </c>
      <c r="B213" s="67">
        <f>Stammdaten!B77</f>
        <v/>
      </c>
      <c r="C213" s="67">
        <f>Stammdaten!C77</f>
        <v/>
      </c>
      <c r="D213" s="123" t="inlineStr">
        <is>
          <t>Verrechnung</t>
        </is>
      </c>
      <c r="E213" s="58" t="n">
        <v>5411.76</v>
      </c>
      <c r="F213" s="58" t="n">
        <v>5468.01</v>
      </c>
      <c r="G213" s="58" t="n">
        <v>5774.1</v>
      </c>
      <c r="H213" s="58" t="n">
        <v>5724.03</v>
      </c>
      <c r="I213" s="58" t="n">
        <v>5757.67</v>
      </c>
      <c r="J213" s="58" t="n">
        <v>5817.19</v>
      </c>
      <c r="K213" s="58" t="n">
        <v>4763.09</v>
      </c>
      <c r="L213" s="58" t="n">
        <v>5474.11</v>
      </c>
      <c r="M213" s="58" t="n">
        <v>5401.63</v>
      </c>
      <c r="N213" s="58" t="n">
        <v>5744.17</v>
      </c>
      <c r="O213" s="58" t="n">
        <v>5497.1</v>
      </c>
      <c r="P213" s="58" t="n">
        <v>5322.91</v>
      </c>
      <c r="Q213" s="28">
        <f>SUM(E213:P213)</f>
        <v/>
      </c>
    </row>
    <row r="214">
      <c r="A214" s="89">
        <f>Stammdaten!A77</f>
        <v/>
      </c>
      <c r="B214" s="67">
        <f>Stammdaten!B77</f>
        <v/>
      </c>
      <c r="C214" s="67">
        <f>Stammdaten!C77</f>
        <v/>
      </c>
      <c r="D214" s="124" t="inlineStr">
        <is>
          <t>Selbstkosten</t>
        </is>
      </c>
      <c r="E214" s="58" t="n">
        <v>2878.92</v>
      </c>
      <c r="F214" s="58" t="n">
        <v>2770.07</v>
      </c>
      <c r="G214" s="58" t="n">
        <v>3078.96</v>
      </c>
      <c r="H214" s="58" t="n">
        <v>2891.09</v>
      </c>
      <c r="I214" s="58" t="n">
        <v>2884.61</v>
      </c>
      <c r="J214" s="58" t="n">
        <v>2916.47</v>
      </c>
      <c r="K214" s="58" t="n">
        <v>2544.32</v>
      </c>
      <c r="L214" s="58" t="n">
        <v>2932.06</v>
      </c>
      <c r="M214" s="58" t="n">
        <v>2862.54</v>
      </c>
      <c r="N214" s="58" t="n">
        <v>3013.46</v>
      </c>
      <c r="O214" s="58" t="n">
        <v>2802.88</v>
      </c>
      <c r="P214" s="58" t="n">
        <v>2825.23</v>
      </c>
      <c r="Q214" s="28">
        <f>SUM(E214:P214)</f>
        <v/>
      </c>
    </row>
    <row r="215">
      <c r="A215" s="89">
        <f>Stammdaten!A77</f>
        <v/>
      </c>
      <c r="B215" s="67">
        <f>Stammdaten!B77</f>
        <v/>
      </c>
      <c r="C215" s="67">
        <f>Stammdaten!C77</f>
        <v/>
      </c>
      <c r="D215" s="125" t="inlineStr">
        <is>
          <t>DB1</t>
        </is>
      </c>
      <c r="E215" s="40">
        <f>E213-E214-Rückstellungen!D77-Rückstellungen!Q77-Rückstellungen!AD77</f>
        <v/>
      </c>
      <c r="F215" s="40">
        <f>F213-F214-Rückstellungen!E77-Rückstellungen!R77-Rückstellungen!AE77</f>
        <v/>
      </c>
      <c r="G215" s="40">
        <f>G213-G214-Rückstellungen!F77-Rückstellungen!S77-Rückstellungen!AF77</f>
        <v/>
      </c>
      <c r="H215" s="40">
        <f>H213-H214-Rückstellungen!G77-Rückstellungen!T77-Rückstellungen!AG77</f>
        <v/>
      </c>
      <c r="I215" s="40">
        <f>I213-I214-Rückstellungen!H77-Rückstellungen!U77-Rückstellungen!AH77</f>
        <v/>
      </c>
      <c r="J215" s="40">
        <f>J213-J214-Rückstellungen!I77-Rückstellungen!V77-Rückstellungen!AI77</f>
        <v/>
      </c>
      <c r="K215" s="40">
        <f>K213-K214-Rückstellungen!J77-Rückstellungen!W77-Rückstellungen!AJ77</f>
        <v/>
      </c>
      <c r="L215" s="40">
        <f>L213-L214-Rückstellungen!K77-Rückstellungen!X77-Rückstellungen!AK77</f>
        <v/>
      </c>
      <c r="M215" s="40">
        <f>M213-M214-Rückstellungen!L77-Rückstellungen!Y77-Rückstellungen!AL77</f>
        <v/>
      </c>
      <c r="N215" s="40">
        <f>N213-N214-Rückstellungen!M77-Rückstellungen!Z77-Rückstellungen!AM77</f>
        <v/>
      </c>
      <c r="O215" s="40">
        <f>O213-O214-Rückstellungen!N77-Rückstellungen!AA77-Rückstellungen!AN77</f>
        <v/>
      </c>
      <c r="P215" s="40">
        <f>P213-P214-Rückstellungen!O77-Rückstellungen!AB77-Rückstellungen!AO77</f>
        <v/>
      </c>
      <c r="Q215" s="59">
        <f>SUM(E215:P215)</f>
        <v/>
      </c>
      <c r="R215" s="126">
        <f>IFERROR(Q215/Q213,0)</f>
        <v/>
      </c>
    </row>
    <row r="216">
      <c r="A216" s="89">
        <f>Stammdaten!A78</f>
        <v/>
      </c>
      <c r="B216" s="67">
        <f>Stammdaten!B78</f>
        <v/>
      </c>
      <c r="C216" s="67">
        <f>Stammdaten!C78</f>
        <v/>
      </c>
      <c r="D216" s="123" t="inlineStr">
        <is>
          <t>Verrechnung</t>
        </is>
      </c>
      <c r="E216" s="58" t="n">
        <v>5237.49</v>
      </c>
      <c r="F216" s="58" t="n">
        <v>5463.77</v>
      </c>
      <c r="G216" s="58" t="n">
        <v>5407.65</v>
      </c>
      <c r="H216" s="58" t="n">
        <v>5634.9</v>
      </c>
      <c r="I216" s="58" t="n">
        <v>5363.57</v>
      </c>
      <c r="J216" s="58" t="n">
        <v>5434.93</v>
      </c>
      <c r="K216" s="58" t="n">
        <v>4951.59</v>
      </c>
      <c r="L216" s="58" t="n">
        <v>5330.29</v>
      </c>
      <c r="M216" s="58" t="n">
        <v>5686.61</v>
      </c>
      <c r="N216" s="58" t="n">
        <v>5590.86</v>
      </c>
      <c r="O216" s="58" t="n">
        <v>5478.81</v>
      </c>
      <c r="P216" s="58" t="n">
        <v>4919.63</v>
      </c>
      <c r="Q216" s="28">
        <f>SUM(E216:P216)</f>
        <v/>
      </c>
    </row>
    <row r="217">
      <c r="A217" s="89">
        <f>Stammdaten!A78</f>
        <v/>
      </c>
      <c r="B217" s="67">
        <f>Stammdaten!B78</f>
        <v/>
      </c>
      <c r="C217" s="67">
        <f>Stammdaten!C78</f>
        <v/>
      </c>
      <c r="D217" s="124" t="inlineStr">
        <is>
          <t>Selbstkosten</t>
        </is>
      </c>
      <c r="E217" s="58" t="n">
        <v>3272.14</v>
      </c>
      <c r="F217" s="58" t="n">
        <v>3370.53</v>
      </c>
      <c r="G217" s="58" t="n">
        <v>3535.32</v>
      </c>
      <c r="H217" s="58" t="n">
        <v>3658.02</v>
      </c>
      <c r="I217" s="58" t="n">
        <v>3318.35</v>
      </c>
      <c r="J217" s="58" t="n">
        <v>3430.63</v>
      </c>
      <c r="K217" s="58" t="n">
        <v>3206.97</v>
      </c>
      <c r="L217" s="58" t="n">
        <v>3364.43</v>
      </c>
      <c r="M217" s="58" t="n">
        <v>3748.17</v>
      </c>
      <c r="N217" s="58" t="n">
        <v>3619.24</v>
      </c>
      <c r="O217" s="58" t="n">
        <v>3562.15</v>
      </c>
      <c r="P217" s="58" t="n">
        <v>3030.05</v>
      </c>
      <c r="Q217" s="28">
        <f>SUM(E217:P217)</f>
        <v/>
      </c>
    </row>
    <row r="218">
      <c r="A218" s="89">
        <f>Stammdaten!A78</f>
        <v/>
      </c>
      <c r="B218" s="67">
        <f>Stammdaten!B78</f>
        <v/>
      </c>
      <c r="C218" s="67">
        <f>Stammdaten!C78</f>
        <v/>
      </c>
      <c r="D218" s="125" t="inlineStr">
        <is>
          <t>DB1</t>
        </is>
      </c>
      <c r="E218" s="40">
        <f>E216-E217-Rückstellungen!D78-Rückstellungen!Q78-Rückstellungen!AD78</f>
        <v/>
      </c>
      <c r="F218" s="40">
        <f>F216-F217-Rückstellungen!E78-Rückstellungen!R78-Rückstellungen!AE78</f>
        <v/>
      </c>
      <c r="G218" s="40">
        <f>G216-G217-Rückstellungen!F78-Rückstellungen!S78-Rückstellungen!AF78</f>
        <v/>
      </c>
      <c r="H218" s="40">
        <f>H216-H217-Rückstellungen!G78-Rückstellungen!T78-Rückstellungen!AG78</f>
        <v/>
      </c>
      <c r="I218" s="40">
        <f>I216-I217-Rückstellungen!H78-Rückstellungen!U78-Rückstellungen!AH78</f>
        <v/>
      </c>
      <c r="J218" s="40">
        <f>J216-J217-Rückstellungen!I78-Rückstellungen!V78-Rückstellungen!AI78</f>
        <v/>
      </c>
      <c r="K218" s="40">
        <f>K216-K217-Rückstellungen!J78-Rückstellungen!W78-Rückstellungen!AJ78</f>
        <v/>
      </c>
      <c r="L218" s="40">
        <f>L216-L217-Rückstellungen!K78-Rückstellungen!X78-Rückstellungen!AK78</f>
        <v/>
      </c>
      <c r="M218" s="40">
        <f>M216-M217-Rückstellungen!L78-Rückstellungen!Y78-Rückstellungen!AL78</f>
        <v/>
      </c>
      <c r="N218" s="40">
        <f>N216-N217-Rückstellungen!M78-Rückstellungen!Z78-Rückstellungen!AM78</f>
        <v/>
      </c>
      <c r="O218" s="40">
        <f>O216-O217-Rückstellungen!N78-Rückstellungen!AA78-Rückstellungen!AN78</f>
        <v/>
      </c>
      <c r="P218" s="40">
        <f>P216-P217-Rückstellungen!O78-Rückstellungen!AB78-Rückstellungen!AO78</f>
        <v/>
      </c>
      <c r="Q218" s="59">
        <f>SUM(E218:P218)</f>
        <v/>
      </c>
      <c r="R218" s="126">
        <f>IFERROR(Q218/Q216,0)</f>
        <v/>
      </c>
    </row>
    <row r="219">
      <c r="A219" s="91">
        <f>Stammdaten!A79</f>
        <v/>
      </c>
      <c r="B219" s="73">
        <f>Stammdaten!B79</f>
        <v/>
      </c>
      <c r="C219" s="73">
        <f>Stammdaten!C79</f>
        <v/>
      </c>
      <c r="D219" s="127" t="inlineStr">
        <is>
          <t>Verrechnung</t>
        </is>
      </c>
      <c r="E219" s="58" t="n">
        <v>5124.23</v>
      </c>
      <c r="F219" s="58" t="n">
        <v>5483.89</v>
      </c>
      <c r="G219" s="58" t="n">
        <v>5473.88</v>
      </c>
      <c r="H219" s="58" t="n">
        <v>5218.11</v>
      </c>
      <c r="I219" s="58" t="n">
        <v>5321.12</v>
      </c>
      <c r="J219" s="58" t="n">
        <v>5586.42</v>
      </c>
      <c r="K219" s="58" t="n">
        <v>4542.21</v>
      </c>
      <c r="L219" s="58" t="n">
        <v>5525.44</v>
      </c>
      <c r="M219" s="58" t="n">
        <v>5549.47</v>
      </c>
      <c r="N219" s="58" t="n">
        <v>5478.59</v>
      </c>
      <c r="O219" s="58" t="n">
        <v>5362.21</v>
      </c>
      <c r="P219" s="58" t="n">
        <v>4848.87</v>
      </c>
      <c r="Q219" s="28">
        <f>SUM(E219:P219)</f>
        <v/>
      </c>
    </row>
    <row r="220">
      <c r="A220" s="91">
        <f>Stammdaten!A79</f>
        <v/>
      </c>
      <c r="B220" s="73">
        <f>Stammdaten!B79</f>
        <v/>
      </c>
      <c r="C220" s="73">
        <f>Stammdaten!C79</f>
        <v/>
      </c>
      <c r="D220" s="128" t="inlineStr">
        <is>
          <t>Selbstkosten</t>
        </is>
      </c>
      <c r="E220" s="58" t="n">
        <v>2749.73</v>
      </c>
      <c r="F220" s="58" t="n">
        <v>2951.28</v>
      </c>
      <c r="G220" s="58" t="n">
        <v>2931.66</v>
      </c>
      <c r="H220" s="58" t="n">
        <v>2927.97</v>
      </c>
      <c r="I220" s="58" t="n">
        <v>2981.36</v>
      </c>
      <c r="J220" s="58" t="n">
        <v>2957.05</v>
      </c>
      <c r="K220" s="58" t="n">
        <v>2419.63</v>
      </c>
      <c r="L220" s="58" t="n">
        <v>2981.32</v>
      </c>
      <c r="M220" s="58" t="n">
        <v>3003.82</v>
      </c>
      <c r="N220" s="58" t="n">
        <v>2990.79</v>
      </c>
      <c r="O220" s="58" t="n">
        <v>2938.7</v>
      </c>
      <c r="P220" s="58" t="n">
        <v>2551.96</v>
      </c>
      <c r="Q220" s="28">
        <f>SUM(E220:P220)</f>
        <v/>
      </c>
    </row>
    <row r="221">
      <c r="A221" s="129">
        <f>Stammdaten!A79</f>
        <v/>
      </c>
      <c r="B221" s="130">
        <f>Stammdaten!B79</f>
        <v/>
      </c>
      <c r="C221" s="130">
        <f>Stammdaten!C79</f>
        <v/>
      </c>
      <c r="D221" s="131" t="inlineStr">
        <is>
          <t>DB1</t>
        </is>
      </c>
      <c r="E221" s="132">
        <f>E219-E220-Rückstellungen!D79-Rückstellungen!Q79-Rückstellungen!AD79</f>
        <v/>
      </c>
      <c r="F221" s="132">
        <f>F219-F220-Rückstellungen!E79-Rückstellungen!R79-Rückstellungen!AE79</f>
        <v/>
      </c>
      <c r="G221" s="132">
        <f>G219-G220-Rückstellungen!F79-Rückstellungen!S79-Rückstellungen!AF79</f>
        <v/>
      </c>
      <c r="H221" s="132">
        <f>H219-H220-Rückstellungen!G79-Rückstellungen!T79-Rückstellungen!AG79</f>
        <v/>
      </c>
      <c r="I221" s="132">
        <f>I219-I220-Rückstellungen!H79-Rückstellungen!U79-Rückstellungen!AH79</f>
        <v/>
      </c>
      <c r="J221" s="132">
        <f>J219-J220-Rückstellungen!I79-Rückstellungen!V79-Rückstellungen!AI79</f>
        <v/>
      </c>
      <c r="K221" s="132">
        <f>K219-K220-Rückstellungen!J79-Rückstellungen!W79-Rückstellungen!AJ79</f>
        <v/>
      </c>
      <c r="L221" s="132">
        <f>L219-L220-Rückstellungen!K79-Rückstellungen!X79-Rückstellungen!AK79</f>
        <v/>
      </c>
      <c r="M221" s="132">
        <f>M219-M220-Rückstellungen!L79-Rückstellungen!Y79-Rückstellungen!AL79</f>
        <v/>
      </c>
      <c r="N221" s="132">
        <f>N219-N220-Rückstellungen!M79-Rückstellungen!Z79-Rückstellungen!AM79</f>
        <v/>
      </c>
      <c r="O221" s="132">
        <f>O219-O220-Rückstellungen!N79-Rückstellungen!AA79-Rückstellungen!AN79</f>
        <v/>
      </c>
      <c r="P221" s="132">
        <f>P219-P220-Rückstellungen!O79-Rückstellungen!AB79-Rückstellungen!AO79</f>
        <v/>
      </c>
      <c r="Q221" s="133">
        <f>SUM(E221:P221)</f>
        <v/>
      </c>
      <c r="R221" s="134">
        <f>IFERROR(Q221/Q219,0)</f>
        <v/>
      </c>
    </row>
    <row r="222">
      <c r="A222" s="91">
        <f>Stammdaten!A80</f>
        <v/>
      </c>
      <c r="B222" s="73">
        <f>Stammdaten!B80</f>
        <v/>
      </c>
      <c r="C222" s="73">
        <f>Stammdaten!C80</f>
        <v/>
      </c>
      <c r="D222" s="127" t="inlineStr">
        <is>
          <t>Verrechnung</t>
        </is>
      </c>
      <c r="E222" s="58" t="n">
        <v>5929.06</v>
      </c>
      <c r="F222" s="58" t="n">
        <v>5693.31</v>
      </c>
      <c r="G222" s="58" t="n">
        <v>5658.98</v>
      </c>
      <c r="H222" s="58" t="n">
        <v>5611.29</v>
      </c>
      <c r="I222" s="58" t="n">
        <v>5561.1</v>
      </c>
      <c r="J222" s="58" t="n">
        <v>5547.13</v>
      </c>
      <c r="K222" s="58" t="n">
        <v>5109.74</v>
      </c>
      <c r="L222" s="58" t="n">
        <v>5675.47</v>
      </c>
      <c r="M222" s="58" t="n">
        <v>5723.67</v>
      </c>
      <c r="N222" s="58" t="n">
        <v>5929.87</v>
      </c>
      <c r="O222" s="58" t="n">
        <v>5906.77</v>
      </c>
      <c r="P222" s="58" t="n">
        <v>5421.97</v>
      </c>
      <c r="Q222" s="28">
        <f>SUM(E222:P222)</f>
        <v/>
      </c>
    </row>
    <row r="223">
      <c r="A223" s="91">
        <f>Stammdaten!A80</f>
        <v/>
      </c>
      <c r="B223" s="73">
        <f>Stammdaten!B80</f>
        <v/>
      </c>
      <c r="C223" s="73">
        <f>Stammdaten!C80</f>
        <v/>
      </c>
      <c r="D223" s="128" t="inlineStr">
        <is>
          <t>Selbstkosten</t>
        </is>
      </c>
      <c r="E223" s="58" t="n">
        <v>3701.78</v>
      </c>
      <c r="F223" s="58" t="n">
        <v>3531.95</v>
      </c>
      <c r="G223" s="58" t="n">
        <v>3420.03</v>
      </c>
      <c r="H223" s="58" t="n">
        <v>3507.52</v>
      </c>
      <c r="I223" s="58" t="n">
        <v>3435.42</v>
      </c>
      <c r="J223" s="58" t="n">
        <v>3271.12</v>
      </c>
      <c r="K223" s="58" t="n">
        <v>3016.45</v>
      </c>
      <c r="L223" s="58" t="n">
        <v>3506.12</v>
      </c>
      <c r="M223" s="58" t="n">
        <v>3461.69</v>
      </c>
      <c r="N223" s="58" t="n">
        <v>3493.01</v>
      </c>
      <c r="O223" s="58" t="n">
        <v>3532.73</v>
      </c>
      <c r="P223" s="58" t="n">
        <v>3222.36</v>
      </c>
      <c r="Q223" s="28">
        <f>SUM(E223:P223)</f>
        <v/>
      </c>
    </row>
    <row r="224">
      <c r="A224" s="91">
        <f>Stammdaten!A80</f>
        <v/>
      </c>
      <c r="B224" s="73">
        <f>Stammdaten!B80</f>
        <v/>
      </c>
      <c r="C224" s="73">
        <f>Stammdaten!C80</f>
        <v/>
      </c>
      <c r="D224" s="135" t="inlineStr">
        <is>
          <t>DB1</t>
        </is>
      </c>
      <c r="E224" s="40">
        <f>E222-E223-Rückstellungen!D80-Rückstellungen!Q80-Rückstellungen!AD80</f>
        <v/>
      </c>
      <c r="F224" s="40">
        <f>F222-F223-Rückstellungen!E80-Rückstellungen!R80-Rückstellungen!AE80</f>
        <v/>
      </c>
      <c r="G224" s="40">
        <f>G222-G223-Rückstellungen!F80-Rückstellungen!S80-Rückstellungen!AF80</f>
        <v/>
      </c>
      <c r="H224" s="40">
        <f>H222-H223-Rückstellungen!G80-Rückstellungen!T80-Rückstellungen!AG80</f>
        <v/>
      </c>
      <c r="I224" s="40">
        <f>I222-I223-Rückstellungen!H80-Rückstellungen!U80-Rückstellungen!AH80</f>
        <v/>
      </c>
      <c r="J224" s="40">
        <f>J222-J223-Rückstellungen!I80-Rückstellungen!V80-Rückstellungen!AI80</f>
        <v/>
      </c>
      <c r="K224" s="40">
        <f>K222-K223-Rückstellungen!J80-Rückstellungen!W80-Rückstellungen!AJ80</f>
        <v/>
      </c>
      <c r="L224" s="40">
        <f>L222-L223-Rückstellungen!K80-Rückstellungen!X80-Rückstellungen!AK80</f>
        <v/>
      </c>
      <c r="M224" s="40">
        <f>M222-M223-Rückstellungen!L80-Rückstellungen!Y80-Rückstellungen!AL80</f>
        <v/>
      </c>
      <c r="N224" s="40">
        <f>N222-N223-Rückstellungen!M80-Rückstellungen!Z80-Rückstellungen!AM80</f>
        <v/>
      </c>
      <c r="O224" s="40">
        <f>O222-O223-Rückstellungen!N80-Rückstellungen!AA80-Rückstellungen!AN80</f>
        <v/>
      </c>
      <c r="P224" s="40">
        <f>P222-P223-Rückstellungen!O80-Rückstellungen!AB80-Rückstellungen!AO80</f>
        <v/>
      </c>
      <c r="Q224" s="59">
        <f>SUM(E224:P224)</f>
        <v/>
      </c>
      <c r="R224" s="126">
        <f>IFERROR(Q224/Q222,0)</f>
        <v/>
      </c>
    </row>
    <row r="225">
      <c r="A225" s="91">
        <f>Stammdaten!A81</f>
        <v/>
      </c>
      <c r="B225" s="73">
        <f>Stammdaten!B81</f>
        <v/>
      </c>
      <c r="C225" s="73">
        <f>Stammdaten!C81</f>
        <v/>
      </c>
      <c r="D225" s="127" t="inlineStr">
        <is>
          <t>Verrechnung</t>
        </is>
      </c>
      <c r="E225" s="58" t="n">
        <v>6640.05</v>
      </c>
      <c r="F225" s="58" t="n">
        <v>6115.33</v>
      </c>
      <c r="G225" s="58" t="n">
        <v>6555.41</v>
      </c>
      <c r="H225" s="58" t="n">
        <v>6630.75</v>
      </c>
      <c r="I225" s="58" t="n">
        <v>6404.67</v>
      </c>
      <c r="J225" s="58" t="n">
        <v>6141.45</v>
      </c>
      <c r="K225" s="58" t="n">
        <v>5819.67</v>
      </c>
      <c r="L225" s="58" t="n">
        <v>6533.08</v>
      </c>
      <c r="M225" s="58" t="n">
        <v>6200.47</v>
      </c>
      <c r="N225" s="58" t="n">
        <v>6479.05</v>
      </c>
      <c r="O225" s="58" t="n">
        <v>6135.35</v>
      </c>
      <c r="P225" s="58" t="n">
        <v>5885.54</v>
      </c>
      <c r="Q225" s="28">
        <f>SUM(E225:P225)</f>
        <v/>
      </c>
    </row>
    <row r="226">
      <c r="A226" s="91">
        <f>Stammdaten!A81</f>
        <v/>
      </c>
      <c r="B226" s="73">
        <f>Stammdaten!B81</f>
        <v/>
      </c>
      <c r="C226" s="73">
        <f>Stammdaten!C81</f>
        <v/>
      </c>
      <c r="D226" s="128" t="inlineStr">
        <is>
          <t>Selbstkosten</t>
        </is>
      </c>
      <c r="E226" s="58" t="n">
        <v>4219.43</v>
      </c>
      <c r="F226" s="58" t="n">
        <v>3859.44</v>
      </c>
      <c r="G226" s="58" t="n">
        <v>4100.65</v>
      </c>
      <c r="H226" s="58" t="n">
        <v>4349.02</v>
      </c>
      <c r="I226" s="58" t="n">
        <v>4113.79</v>
      </c>
      <c r="J226" s="58" t="n">
        <v>3822</v>
      </c>
      <c r="K226" s="58" t="n">
        <v>3611.31</v>
      </c>
      <c r="L226" s="58" t="n">
        <v>4100.79</v>
      </c>
      <c r="M226" s="58" t="n">
        <v>3941.29</v>
      </c>
      <c r="N226" s="58" t="n">
        <v>4273.49</v>
      </c>
      <c r="O226" s="58" t="n">
        <v>3950.66</v>
      </c>
      <c r="P226" s="58" t="n">
        <v>3897.65</v>
      </c>
      <c r="Q226" s="28">
        <f>SUM(E226:P226)</f>
        <v/>
      </c>
    </row>
    <row r="227">
      <c r="A227" s="91">
        <f>Stammdaten!A81</f>
        <v/>
      </c>
      <c r="B227" s="73">
        <f>Stammdaten!B81</f>
        <v/>
      </c>
      <c r="C227" s="73">
        <f>Stammdaten!C81</f>
        <v/>
      </c>
      <c r="D227" s="135" t="inlineStr">
        <is>
          <t>DB1</t>
        </is>
      </c>
      <c r="E227" s="40">
        <f>E225-E226-Rückstellungen!D81-Rückstellungen!Q81-Rückstellungen!AD81</f>
        <v/>
      </c>
      <c r="F227" s="40">
        <f>F225-F226-Rückstellungen!E81-Rückstellungen!R81-Rückstellungen!AE81</f>
        <v/>
      </c>
      <c r="G227" s="40">
        <f>G225-G226-Rückstellungen!F81-Rückstellungen!S81-Rückstellungen!AF81</f>
        <v/>
      </c>
      <c r="H227" s="40">
        <f>H225-H226-Rückstellungen!G81-Rückstellungen!T81-Rückstellungen!AG81</f>
        <v/>
      </c>
      <c r="I227" s="40">
        <f>I225-I226-Rückstellungen!H81-Rückstellungen!U81-Rückstellungen!AH81</f>
        <v/>
      </c>
      <c r="J227" s="40">
        <f>J225-J226-Rückstellungen!I81-Rückstellungen!V81-Rückstellungen!AI81</f>
        <v/>
      </c>
      <c r="K227" s="40">
        <f>K225-K226-Rückstellungen!J81-Rückstellungen!W81-Rückstellungen!AJ81</f>
        <v/>
      </c>
      <c r="L227" s="40">
        <f>L225-L226-Rückstellungen!K81-Rückstellungen!X81-Rückstellungen!AK81</f>
        <v/>
      </c>
      <c r="M227" s="40">
        <f>M225-M226-Rückstellungen!L81-Rückstellungen!Y81-Rückstellungen!AL81</f>
        <v/>
      </c>
      <c r="N227" s="40">
        <f>N225-N226-Rückstellungen!M81-Rückstellungen!Z81-Rückstellungen!AM81</f>
        <v/>
      </c>
      <c r="O227" s="40">
        <f>O225-O226-Rückstellungen!N81-Rückstellungen!AA81-Rückstellungen!AN81</f>
        <v/>
      </c>
      <c r="P227" s="40">
        <f>P225-P226-Rückstellungen!O81-Rückstellungen!AB81-Rückstellungen!AO81</f>
        <v/>
      </c>
      <c r="Q227" s="59">
        <f>SUM(E227:P227)</f>
        <v/>
      </c>
      <c r="R227" s="126">
        <f>IFERROR(Q227/Q225,0)</f>
        <v/>
      </c>
    </row>
    <row r="228">
      <c r="A228" s="91">
        <f>Stammdaten!A82</f>
        <v/>
      </c>
      <c r="B228" s="73">
        <f>Stammdaten!B82</f>
        <v/>
      </c>
      <c r="C228" s="73">
        <f>Stammdaten!C82</f>
        <v/>
      </c>
      <c r="D228" s="127" t="inlineStr">
        <is>
          <t>Verrechnung</t>
        </is>
      </c>
      <c r="E228" s="58" t="n">
        <v>4098.53</v>
      </c>
      <c r="F228" s="58" t="n">
        <v>4371.64</v>
      </c>
      <c r="G228" s="58" t="n">
        <v>4422.45</v>
      </c>
      <c r="H228" s="58" t="n">
        <v>4415.54</v>
      </c>
      <c r="I228" s="58" t="n">
        <v>4339.46</v>
      </c>
      <c r="J228" s="58" t="n">
        <v>4209.29</v>
      </c>
      <c r="K228" s="58" t="n">
        <v>3935.37</v>
      </c>
      <c r="L228" s="58" t="n">
        <v>4233.4</v>
      </c>
      <c r="M228" s="58" t="n">
        <v>4297.43</v>
      </c>
      <c r="N228" s="58" t="n">
        <v>4310.07</v>
      </c>
      <c r="O228" s="58" t="n">
        <v>4399.79</v>
      </c>
      <c r="P228" s="58" t="n">
        <v>3622.3</v>
      </c>
      <c r="Q228" s="28">
        <f>SUM(E228:P228)</f>
        <v/>
      </c>
    </row>
    <row r="229">
      <c r="A229" s="91">
        <f>Stammdaten!A82</f>
        <v/>
      </c>
      <c r="B229" s="73">
        <f>Stammdaten!B82</f>
        <v/>
      </c>
      <c r="C229" s="73">
        <f>Stammdaten!C82</f>
        <v/>
      </c>
      <c r="D229" s="128" t="inlineStr">
        <is>
          <t>Selbstkosten</t>
        </is>
      </c>
      <c r="E229" s="58" t="n">
        <v>2342.23</v>
      </c>
      <c r="F229" s="58" t="n">
        <v>2375.17</v>
      </c>
      <c r="G229" s="58" t="n">
        <v>2390.43</v>
      </c>
      <c r="H229" s="58" t="n">
        <v>2452.33</v>
      </c>
      <c r="I229" s="58" t="n">
        <v>2420.7</v>
      </c>
      <c r="J229" s="58" t="n">
        <v>2336.72</v>
      </c>
      <c r="K229" s="58" t="n">
        <v>2161.46</v>
      </c>
      <c r="L229" s="58" t="n">
        <v>2304.36</v>
      </c>
      <c r="M229" s="58" t="n">
        <v>2417.44</v>
      </c>
      <c r="N229" s="58" t="n">
        <v>2404.77</v>
      </c>
      <c r="O229" s="58" t="n">
        <v>2451.43</v>
      </c>
      <c r="P229" s="58" t="n">
        <v>2009.82</v>
      </c>
      <c r="Q229" s="28">
        <f>SUM(E229:P229)</f>
        <v/>
      </c>
    </row>
    <row r="230">
      <c r="A230" s="91">
        <f>Stammdaten!A82</f>
        <v/>
      </c>
      <c r="B230" s="73">
        <f>Stammdaten!B82</f>
        <v/>
      </c>
      <c r="C230" s="73">
        <f>Stammdaten!C82</f>
        <v/>
      </c>
      <c r="D230" s="135" t="inlineStr">
        <is>
          <t>DB1</t>
        </is>
      </c>
      <c r="E230" s="40">
        <f>E228-E229-Rückstellungen!D82-Rückstellungen!Q82-Rückstellungen!AD82</f>
        <v/>
      </c>
      <c r="F230" s="40">
        <f>F228-F229-Rückstellungen!E82-Rückstellungen!R82-Rückstellungen!AE82</f>
        <v/>
      </c>
      <c r="G230" s="40">
        <f>G228-G229-Rückstellungen!F82-Rückstellungen!S82-Rückstellungen!AF82</f>
        <v/>
      </c>
      <c r="H230" s="40">
        <f>H228-H229-Rückstellungen!G82-Rückstellungen!T82-Rückstellungen!AG82</f>
        <v/>
      </c>
      <c r="I230" s="40">
        <f>I228-I229-Rückstellungen!H82-Rückstellungen!U82-Rückstellungen!AH82</f>
        <v/>
      </c>
      <c r="J230" s="40">
        <f>J228-J229-Rückstellungen!I82-Rückstellungen!V82-Rückstellungen!AI82</f>
        <v/>
      </c>
      <c r="K230" s="40">
        <f>K228-K229-Rückstellungen!J82-Rückstellungen!W82-Rückstellungen!AJ82</f>
        <v/>
      </c>
      <c r="L230" s="40">
        <f>L228-L229-Rückstellungen!K82-Rückstellungen!X82-Rückstellungen!AK82</f>
        <v/>
      </c>
      <c r="M230" s="40">
        <f>M228-M229-Rückstellungen!L82-Rückstellungen!Y82-Rückstellungen!AL82</f>
        <v/>
      </c>
      <c r="N230" s="40">
        <f>N228-N229-Rückstellungen!M82-Rückstellungen!Z82-Rückstellungen!AM82</f>
        <v/>
      </c>
      <c r="O230" s="40">
        <f>O228-O229-Rückstellungen!N82-Rückstellungen!AA82-Rückstellungen!AN82</f>
        <v/>
      </c>
      <c r="P230" s="40">
        <f>P228-P229-Rückstellungen!O82-Rückstellungen!AB82-Rückstellungen!AO82</f>
        <v/>
      </c>
      <c r="Q230" s="59">
        <f>SUM(E230:P230)</f>
        <v/>
      </c>
      <c r="R230" s="126">
        <f>IFERROR(Q230/Q228,0)</f>
        <v/>
      </c>
    </row>
    <row r="231">
      <c r="A231" s="91">
        <f>Stammdaten!A83</f>
        <v/>
      </c>
      <c r="B231" s="73">
        <f>Stammdaten!B83</f>
        <v/>
      </c>
      <c r="C231" s="73">
        <f>Stammdaten!C83</f>
        <v/>
      </c>
      <c r="D231" s="127" t="inlineStr">
        <is>
          <t>Verrechnung</t>
        </is>
      </c>
      <c r="E231" s="58" t="n">
        <v>5936.3</v>
      </c>
      <c r="F231" s="58" t="n">
        <v>5440.17</v>
      </c>
      <c r="G231" s="58" t="n">
        <v>5793.39</v>
      </c>
      <c r="H231" s="58" t="n">
        <v>5828.04</v>
      </c>
      <c r="I231" s="58" t="n">
        <v>5718.19</v>
      </c>
      <c r="J231" s="58" t="n">
        <v>5567.9</v>
      </c>
      <c r="K231" s="58" t="n">
        <v>5018.54</v>
      </c>
      <c r="L231" s="58" t="n">
        <v>5573.25</v>
      </c>
      <c r="M231" s="58" t="n">
        <v>5670.36</v>
      </c>
      <c r="N231" s="58" t="n">
        <v>5727.53</v>
      </c>
      <c r="O231" s="58" t="n">
        <v>5511.49</v>
      </c>
      <c r="P231" s="58" t="n">
        <v>5011.64</v>
      </c>
      <c r="Q231" s="28">
        <f>SUM(E231:P231)</f>
        <v/>
      </c>
    </row>
    <row r="232">
      <c r="A232" s="91">
        <f>Stammdaten!A83</f>
        <v/>
      </c>
      <c r="B232" s="73">
        <f>Stammdaten!B83</f>
        <v/>
      </c>
      <c r="C232" s="73">
        <f>Stammdaten!C83</f>
        <v/>
      </c>
      <c r="D232" s="128" t="inlineStr">
        <is>
          <t>Selbstkosten</t>
        </is>
      </c>
      <c r="E232" s="58" t="n">
        <v>2886.68</v>
      </c>
      <c r="F232" s="58" t="n">
        <v>2615.82</v>
      </c>
      <c r="G232" s="58" t="n">
        <v>2804.67</v>
      </c>
      <c r="H232" s="58" t="n">
        <v>2794.75</v>
      </c>
      <c r="I232" s="58" t="n">
        <v>2737.74</v>
      </c>
      <c r="J232" s="58" t="n">
        <v>2610.22</v>
      </c>
      <c r="K232" s="58" t="n">
        <v>2485.64</v>
      </c>
      <c r="L232" s="58" t="n">
        <v>2760</v>
      </c>
      <c r="M232" s="58" t="n">
        <v>2721.7</v>
      </c>
      <c r="N232" s="58" t="n">
        <v>2725.03</v>
      </c>
      <c r="O232" s="58" t="n">
        <v>2625.05</v>
      </c>
      <c r="P232" s="58" t="n">
        <v>2478.93</v>
      </c>
      <c r="Q232" s="28">
        <f>SUM(E232:P232)</f>
        <v/>
      </c>
    </row>
    <row r="233">
      <c r="A233" s="91">
        <f>Stammdaten!A83</f>
        <v/>
      </c>
      <c r="B233" s="73">
        <f>Stammdaten!B83</f>
        <v/>
      </c>
      <c r="C233" s="73">
        <f>Stammdaten!C83</f>
        <v/>
      </c>
      <c r="D233" s="135" t="inlineStr">
        <is>
          <t>DB1</t>
        </is>
      </c>
      <c r="E233" s="40">
        <f>E231-E232-Rückstellungen!D83-Rückstellungen!Q83-Rückstellungen!AD83</f>
        <v/>
      </c>
      <c r="F233" s="40">
        <f>F231-F232-Rückstellungen!E83-Rückstellungen!R83-Rückstellungen!AE83</f>
        <v/>
      </c>
      <c r="G233" s="40">
        <f>G231-G232-Rückstellungen!F83-Rückstellungen!S83-Rückstellungen!AF83</f>
        <v/>
      </c>
      <c r="H233" s="40">
        <f>H231-H232-Rückstellungen!G83-Rückstellungen!T83-Rückstellungen!AG83</f>
        <v/>
      </c>
      <c r="I233" s="40">
        <f>I231-I232-Rückstellungen!H83-Rückstellungen!U83-Rückstellungen!AH83</f>
        <v/>
      </c>
      <c r="J233" s="40">
        <f>J231-J232-Rückstellungen!I83-Rückstellungen!V83-Rückstellungen!AI83</f>
        <v/>
      </c>
      <c r="K233" s="40">
        <f>K231-K232-Rückstellungen!J83-Rückstellungen!W83-Rückstellungen!AJ83</f>
        <v/>
      </c>
      <c r="L233" s="40">
        <f>L231-L232-Rückstellungen!K83-Rückstellungen!X83-Rückstellungen!AK83</f>
        <v/>
      </c>
      <c r="M233" s="40">
        <f>M231-M232-Rückstellungen!L83-Rückstellungen!Y83-Rückstellungen!AL83</f>
        <v/>
      </c>
      <c r="N233" s="40">
        <f>N231-N232-Rückstellungen!M83-Rückstellungen!Z83-Rückstellungen!AM83</f>
        <v/>
      </c>
      <c r="O233" s="40">
        <f>O231-O232-Rückstellungen!N83-Rückstellungen!AA83-Rückstellungen!AN83</f>
        <v/>
      </c>
      <c r="P233" s="40">
        <f>P231-P232-Rückstellungen!O83-Rückstellungen!AB83-Rückstellungen!AO83</f>
        <v/>
      </c>
      <c r="Q233" s="59">
        <f>SUM(E233:P233)</f>
        <v/>
      </c>
      <c r="R233" s="126">
        <f>IFERROR(Q233/Q231,0)</f>
        <v/>
      </c>
    </row>
    <row r="234">
      <c r="A234" s="91">
        <f>Stammdaten!A84</f>
        <v/>
      </c>
      <c r="B234" s="73">
        <f>Stammdaten!B84</f>
        <v/>
      </c>
      <c r="C234" s="73">
        <f>Stammdaten!C84</f>
        <v/>
      </c>
      <c r="D234" s="127" t="inlineStr">
        <is>
          <t>Verrechnung</t>
        </is>
      </c>
      <c r="E234" s="58" t="n">
        <v>6028.98</v>
      </c>
      <c r="F234" s="58" t="n">
        <v>5928.55</v>
      </c>
      <c r="G234" s="58" t="n">
        <v>6251.99</v>
      </c>
      <c r="H234" s="58" t="n">
        <v>5847.1</v>
      </c>
      <c r="I234" s="58" t="n">
        <v>6116.07</v>
      </c>
      <c r="J234" s="58" t="n">
        <v>6037.49</v>
      </c>
      <c r="K234" s="58" t="n">
        <v>5375.22</v>
      </c>
      <c r="L234" s="58" t="n">
        <v>6228.83</v>
      </c>
      <c r="M234" s="58" t="n">
        <v>6154.85</v>
      </c>
      <c r="N234" s="58" t="n">
        <v>6010.98</v>
      </c>
      <c r="O234" s="58" t="n">
        <v>5740.61</v>
      </c>
      <c r="P234" s="58" t="n">
        <v>5285.07</v>
      </c>
      <c r="Q234" s="28">
        <f>SUM(E234:P234)</f>
        <v/>
      </c>
    </row>
    <row r="235">
      <c r="A235" s="91">
        <f>Stammdaten!A84</f>
        <v/>
      </c>
      <c r="B235" s="73">
        <f>Stammdaten!B84</f>
        <v/>
      </c>
      <c r="C235" s="73">
        <f>Stammdaten!C84</f>
        <v/>
      </c>
      <c r="D235" s="128" t="inlineStr">
        <is>
          <t>Selbstkosten</t>
        </is>
      </c>
      <c r="E235" s="58" t="n">
        <v>3589.94</v>
      </c>
      <c r="F235" s="58" t="n">
        <v>3518.85</v>
      </c>
      <c r="G235" s="58" t="n">
        <v>3519.79</v>
      </c>
      <c r="H235" s="58" t="n">
        <v>3325.7</v>
      </c>
      <c r="I235" s="58" t="n">
        <v>3488.7</v>
      </c>
      <c r="J235" s="58" t="n">
        <v>3527.37</v>
      </c>
      <c r="K235" s="58" t="n">
        <v>3019.37</v>
      </c>
      <c r="L235" s="58" t="n">
        <v>3672.46</v>
      </c>
      <c r="M235" s="58" t="n">
        <v>3661.85</v>
      </c>
      <c r="N235" s="58" t="n">
        <v>3384.55</v>
      </c>
      <c r="O235" s="58" t="n">
        <v>3204.82</v>
      </c>
      <c r="P235" s="58" t="n">
        <v>3039.96</v>
      </c>
      <c r="Q235" s="28">
        <f>SUM(E235:P235)</f>
        <v/>
      </c>
    </row>
    <row r="236">
      <c r="A236" s="91">
        <f>Stammdaten!A84</f>
        <v/>
      </c>
      <c r="B236" s="73">
        <f>Stammdaten!B84</f>
        <v/>
      </c>
      <c r="C236" s="73">
        <f>Stammdaten!C84</f>
        <v/>
      </c>
      <c r="D236" s="135" t="inlineStr">
        <is>
          <t>DB1</t>
        </is>
      </c>
      <c r="E236" s="40">
        <f>E234-E235-Rückstellungen!D84-Rückstellungen!Q84-Rückstellungen!AD84</f>
        <v/>
      </c>
      <c r="F236" s="40">
        <f>F234-F235-Rückstellungen!E84-Rückstellungen!R84-Rückstellungen!AE84</f>
        <v/>
      </c>
      <c r="G236" s="40">
        <f>G234-G235-Rückstellungen!F84-Rückstellungen!S84-Rückstellungen!AF84</f>
        <v/>
      </c>
      <c r="H236" s="40">
        <f>H234-H235-Rückstellungen!G84-Rückstellungen!T84-Rückstellungen!AG84</f>
        <v/>
      </c>
      <c r="I236" s="40">
        <f>I234-I235-Rückstellungen!H84-Rückstellungen!U84-Rückstellungen!AH84</f>
        <v/>
      </c>
      <c r="J236" s="40">
        <f>J234-J235-Rückstellungen!I84-Rückstellungen!V84-Rückstellungen!AI84</f>
        <v/>
      </c>
      <c r="K236" s="40">
        <f>K234-K235-Rückstellungen!J84-Rückstellungen!W84-Rückstellungen!AJ84</f>
        <v/>
      </c>
      <c r="L236" s="40">
        <f>L234-L235-Rückstellungen!K84-Rückstellungen!X84-Rückstellungen!AK84</f>
        <v/>
      </c>
      <c r="M236" s="40">
        <f>M234-M235-Rückstellungen!L84-Rückstellungen!Y84-Rückstellungen!AL84</f>
        <v/>
      </c>
      <c r="N236" s="40">
        <f>N234-N235-Rückstellungen!M84-Rückstellungen!Z84-Rückstellungen!AM84</f>
        <v/>
      </c>
      <c r="O236" s="40">
        <f>O234-O235-Rückstellungen!N84-Rückstellungen!AA84-Rückstellungen!AN84</f>
        <v/>
      </c>
      <c r="P236" s="40">
        <f>P234-P235-Rückstellungen!O84-Rückstellungen!AB84-Rückstellungen!AO84</f>
        <v/>
      </c>
      <c r="Q236" s="59">
        <f>SUM(E236:P236)</f>
        <v/>
      </c>
      <c r="R236" s="126">
        <f>IFERROR(Q236/Q234,0)</f>
        <v/>
      </c>
    </row>
    <row r="237">
      <c r="A237" s="91">
        <f>Stammdaten!A85</f>
        <v/>
      </c>
      <c r="B237" s="73">
        <f>Stammdaten!B85</f>
        <v/>
      </c>
      <c r="C237" s="73">
        <f>Stammdaten!C85</f>
        <v/>
      </c>
      <c r="D237" s="127" t="inlineStr">
        <is>
          <t>Verrechnung</t>
        </is>
      </c>
      <c r="E237" s="58" t="n">
        <v>4618.05</v>
      </c>
      <c r="F237" s="58" t="n">
        <v>4811.74</v>
      </c>
      <c r="G237" s="58" t="n">
        <v>4500.07</v>
      </c>
      <c r="H237" s="58" t="n">
        <v>4770.73</v>
      </c>
      <c r="I237" s="58" t="n">
        <v>4521.62</v>
      </c>
      <c r="J237" s="58" t="n">
        <v>4628.17</v>
      </c>
      <c r="K237" s="58" t="n">
        <v>4441.78</v>
      </c>
      <c r="L237" s="58" t="n">
        <v>4616.29</v>
      </c>
      <c r="M237" s="58" t="n">
        <v>4884.5</v>
      </c>
      <c r="N237" s="58" t="n">
        <v>4658.37</v>
      </c>
      <c r="O237" s="58" t="n">
        <v>4679.49</v>
      </c>
      <c r="P237" s="58" t="n">
        <v>4404</v>
      </c>
      <c r="Q237" s="28">
        <f>SUM(E237:P237)</f>
        <v/>
      </c>
    </row>
    <row r="238">
      <c r="A238" s="91">
        <f>Stammdaten!A85</f>
        <v/>
      </c>
      <c r="B238" s="73">
        <f>Stammdaten!B85</f>
        <v/>
      </c>
      <c r="C238" s="73">
        <f>Stammdaten!C85</f>
        <v/>
      </c>
      <c r="D238" s="128" t="inlineStr">
        <is>
          <t>Selbstkosten</t>
        </is>
      </c>
      <c r="E238" s="58" t="n">
        <v>2517.23</v>
      </c>
      <c r="F238" s="58" t="n">
        <v>2751.89</v>
      </c>
      <c r="G238" s="58" t="n">
        <v>2447.72</v>
      </c>
      <c r="H238" s="58" t="n">
        <v>2593.82</v>
      </c>
      <c r="I238" s="58" t="n">
        <v>2525.93</v>
      </c>
      <c r="J238" s="58" t="n">
        <v>2503.89</v>
      </c>
      <c r="K238" s="58" t="n">
        <v>2491.63</v>
      </c>
      <c r="L238" s="58" t="n">
        <v>2542.29</v>
      </c>
      <c r="M238" s="58" t="n">
        <v>2767.73</v>
      </c>
      <c r="N238" s="58" t="n">
        <v>2622.76</v>
      </c>
      <c r="O238" s="58" t="n">
        <v>2576.13</v>
      </c>
      <c r="P238" s="58" t="n">
        <v>2522.36</v>
      </c>
      <c r="Q238" s="28">
        <f>SUM(E238:P238)</f>
        <v/>
      </c>
    </row>
    <row r="239">
      <c r="A239" s="91">
        <f>Stammdaten!A85</f>
        <v/>
      </c>
      <c r="B239" s="73">
        <f>Stammdaten!B85</f>
        <v/>
      </c>
      <c r="C239" s="73">
        <f>Stammdaten!C85</f>
        <v/>
      </c>
      <c r="D239" s="135" t="inlineStr">
        <is>
          <t>DB1</t>
        </is>
      </c>
      <c r="E239" s="40">
        <f>E237-E238-Rückstellungen!D85-Rückstellungen!Q85-Rückstellungen!AD85</f>
        <v/>
      </c>
      <c r="F239" s="40">
        <f>F237-F238-Rückstellungen!E85-Rückstellungen!R85-Rückstellungen!AE85</f>
        <v/>
      </c>
      <c r="G239" s="40">
        <f>G237-G238-Rückstellungen!F85-Rückstellungen!S85-Rückstellungen!AF85</f>
        <v/>
      </c>
      <c r="H239" s="40">
        <f>H237-H238-Rückstellungen!G85-Rückstellungen!T85-Rückstellungen!AG85</f>
        <v/>
      </c>
      <c r="I239" s="40">
        <f>I237-I238-Rückstellungen!H85-Rückstellungen!U85-Rückstellungen!AH85</f>
        <v/>
      </c>
      <c r="J239" s="40">
        <f>J237-J238-Rückstellungen!I85-Rückstellungen!V85-Rückstellungen!AI85</f>
        <v/>
      </c>
      <c r="K239" s="40">
        <f>K237-K238-Rückstellungen!J85-Rückstellungen!W85-Rückstellungen!AJ85</f>
        <v/>
      </c>
      <c r="L239" s="40">
        <f>L237-L238-Rückstellungen!K85-Rückstellungen!X85-Rückstellungen!AK85</f>
        <v/>
      </c>
      <c r="M239" s="40">
        <f>M237-M238-Rückstellungen!L85-Rückstellungen!Y85-Rückstellungen!AL85</f>
        <v/>
      </c>
      <c r="N239" s="40">
        <f>N237-N238-Rückstellungen!M85-Rückstellungen!Z85-Rückstellungen!AM85</f>
        <v/>
      </c>
      <c r="O239" s="40">
        <f>O237-O238-Rückstellungen!N85-Rückstellungen!AA85-Rückstellungen!AN85</f>
        <v/>
      </c>
      <c r="P239" s="40">
        <f>P237-P238-Rückstellungen!O85-Rückstellungen!AB85-Rückstellungen!AO85</f>
        <v/>
      </c>
      <c r="Q239" s="59">
        <f>SUM(E239:P239)</f>
        <v/>
      </c>
      <c r="R239" s="126">
        <f>IFERROR(Q239/Q237,0)</f>
        <v/>
      </c>
    </row>
    <row r="240">
      <c r="A240" s="91">
        <f>Stammdaten!A86</f>
        <v/>
      </c>
      <c r="B240" s="73">
        <f>Stammdaten!B86</f>
        <v/>
      </c>
      <c r="C240" s="73">
        <f>Stammdaten!C86</f>
        <v/>
      </c>
      <c r="D240" s="127" t="inlineStr">
        <is>
          <t>Verrechnung</t>
        </is>
      </c>
      <c r="E240" s="58" t="n">
        <v>5749.15</v>
      </c>
      <c r="F240" s="58" t="n">
        <v>5708.86</v>
      </c>
      <c r="G240" s="58" t="n">
        <v>5430.3</v>
      </c>
      <c r="H240" s="58" t="n">
        <v>5692.84</v>
      </c>
      <c r="I240" s="58" t="n">
        <v>5767.33</v>
      </c>
      <c r="J240" s="58" t="n">
        <v>5625.48</v>
      </c>
      <c r="K240" s="58" t="n">
        <v>5103.8</v>
      </c>
      <c r="L240" s="58" t="n">
        <v>5661.62</v>
      </c>
      <c r="M240" s="58" t="n">
        <v>5589.78</v>
      </c>
      <c r="N240" s="58" t="n">
        <v>5380.28</v>
      </c>
      <c r="O240" s="58" t="n">
        <v>5501.31</v>
      </c>
      <c r="P240" s="58" t="n">
        <v>5554.69</v>
      </c>
      <c r="Q240" s="28">
        <f>SUM(E240:P240)</f>
        <v/>
      </c>
    </row>
    <row r="241">
      <c r="A241" s="91">
        <f>Stammdaten!A86</f>
        <v/>
      </c>
      <c r="B241" s="73">
        <f>Stammdaten!B86</f>
        <v/>
      </c>
      <c r="C241" s="73">
        <f>Stammdaten!C86</f>
        <v/>
      </c>
      <c r="D241" s="128" t="inlineStr">
        <is>
          <t>Selbstkosten</t>
        </is>
      </c>
      <c r="E241" s="58" t="n">
        <v>3073.69</v>
      </c>
      <c r="F241" s="58" t="n">
        <v>3034.17</v>
      </c>
      <c r="G241" s="58" t="n">
        <v>2826.42</v>
      </c>
      <c r="H241" s="58" t="n">
        <v>3085.16</v>
      </c>
      <c r="I241" s="58" t="n">
        <v>3168.42</v>
      </c>
      <c r="J241" s="58" t="n">
        <v>2966.1</v>
      </c>
      <c r="K241" s="58" t="n">
        <v>2773.33</v>
      </c>
      <c r="L241" s="58" t="n">
        <v>2968.58</v>
      </c>
      <c r="M241" s="58" t="n">
        <v>2978.57</v>
      </c>
      <c r="N241" s="58" t="n">
        <v>2870.1</v>
      </c>
      <c r="O241" s="58" t="n">
        <v>2994.45</v>
      </c>
      <c r="P241" s="58" t="n">
        <v>3030.57</v>
      </c>
      <c r="Q241" s="28">
        <f>SUM(E241:P241)</f>
        <v/>
      </c>
    </row>
    <row r="242">
      <c r="A242" s="91">
        <f>Stammdaten!A86</f>
        <v/>
      </c>
      <c r="B242" s="73">
        <f>Stammdaten!B86</f>
        <v/>
      </c>
      <c r="C242" s="73">
        <f>Stammdaten!C86</f>
        <v/>
      </c>
      <c r="D242" s="135" t="inlineStr">
        <is>
          <t>DB1</t>
        </is>
      </c>
      <c r="E242" s="40">
        <f>E240-E241-Rückstellungen!D86-Rückstellungen!Q86-Rückstellungen!AD86</f>
        <v/>
      </c>
      <c r="F242" s="40">
        <f>F240-F241-Rückstellungen!E86-Rückstellungen!R86-Rückstellungen!AE86</f>
        <v/>
      </c>
      <c r="G242" s="40">
        <f>G240-G241-Rückstellungen!F86-Rückstellungen!S86-Rückstellungen!AF86</f>
        <v/>
      </c>
      <c r="H242" s="40">
        <f>H240-H241-Rückstellungen!G86-Rückstellungen!T86-Rückstellungen!AG86</f>
        <v/>
      </c>
      <c r="I242" s="40">
        <f>I240-I241-Rückstellungen!H86-Rückstellungen!U86-Rückstellungen!AH86</f>
        <v/>
      </c>
      <c r="J242" s="40">
        <f>J240-J241-Rückstellungen!I86-Rückstellungen!V86-Rückstellungen!AI86</f>
        <v/>
      </c>
      <c r="K242" s="40">
        <f>K240-K241-Rückstellungen!J86-Rückstellungen!W86-Rückstellungen!AJ86</f>
        <v/>
      </c>
      <c r="L242" s="40">
        <f>L240-L241-Rückstellungen!K86-Rückstellungen!X86-Rückstellungen!AK86</f>
        <v/>
      </c>
      <c r="M242" s="40">
        <f>M240-M241-Rückstellungen!L86-Rückstellungen!Y86-Rückstellungen!AL86</f>
        <v/>
      </c>
      <c r="N242" s="40">
        <f>N240-N241-Rückstellungen!M86-Rückstellungen!Z86-Rückstellungen!AM86</f>
        <v/>
      </c>
      <c r="O242" s="40">
        <f>O240-O241-Rückstellungen!N86-Rückstellungen!AA86-Rückstellungen!AN86</f>
        <v/>
      </c>
      <c r="P242" s="40">
        <f>P240-P241-Rückstellungen!O86-Rückstellungen!AB86-Rückstellungen!AO86</f>
        <v/>
      </c>
      <c r="Q242" s="59">
        <f>SUM(E242:P242)</f>
        <v/>
      </c>
      <c r="R242" s="126">
        <f>IFERROR(Q242/Q240,0)</f>
        <v/>
      </c>
    </row>
    <row r="243">
      <c r="A243" s="91">
        <f>Stammdaten!A87</f>
        <v/>
      </c>
      <c r="B243" s="73">
        <f>Stammdaten!B87</f>
        <v/>
      </c>
      <c r="C243" s="73">
        <f>Stammdaten!C87</f>
        <v/>
      </c>
      <c r="D243" s="127" t="inlineStr">
        <is>
          <t>Verrechnung</t>
        </is>
      </c>
      <c r="E243" s="58" t="n">
        <v>5808.35</v>
      </c>
      <c r="F243" s="58" t="n">
        <v>5883.54</v>
      </c>
      <c r="G243" s="58" t="n">
        <v>6081.09</v>
      </c>
      <c r="H243" s="58" t="n">
        <v>5930.39</v>
      </c>
      <c r="I243" s="58" t="n">
        <v>5785.2</v>
      </c>
      <c r="J243" s="58" t="n">
        <v>6167.26</v>
      </c>
      <c r="K243" s="58" t="n">
        <v>5494.64</v>
      </c>
      <c r="L243" s="58" t="n">
        <v>6005.07</v>
      </c>
      <c r="M243" s="58" t="n">
        <v>5816.84</v>
      </c>
      <c r="N243" s="58" t="n">
        <v>6123.16</v>
      </c>
      <c r="O243" s="58" t="n">
        <v>5707.09</v>
      </c>
      <c r="P243" s="58" t="n">
        <v>5070.95</v>
      </c>
      <c r="Q243" s="28">
        <f>SUM(E243:P243)</f>
        <v/>
      </c>
    </row>
    <row r="244">
      <c r="A244" s="91">
        <f>Stammdaten!A87</f>
        <v/>
      </c>
      <c r="B244" s="73">
        <f>Stammdaten!B87</f>
        <v/>
      </c>
      <c r="C244" s="73">
        <f>Stammdaten!C87</f>
        <v/>
      </c>
      <c r="D244" s="128" t="inlineStr">
        <is>
          <t>Selbstkosten</t>
        </is>
      </c>
      <c r="E244" s="58" t="n">
        <v>2670.93</v>
      </c>
      <c r="F244" s="58" t="n">
        <v>2722.96</v>
      </c>
      <c r="G244" s="58" t="n">
        <v>2672.39</v>
      </c>
      <c r="H244" s="58" t="n">
        <v>2675.79</v>
      </c>
      <c r="I244" s="58" t="n">
        <v>2609.25</v>
      </c>
      <c r="J244" s="58" t="n">
        <v>2769.33</v>
      </c>
      <c r="K244" s="58" t="n">
        <v>2543.27</v>
      </c>
      <c r="L244" s="58" t="n">
        <v>2773.74</v>
      </c>
      <c r="M244" s="58" t="n">
        <v>2630.37</v>
      </c>
      <c r="N244" s="58" t="n">
        <v>2688.03</v>
      </c>
      <c r="O244" s="58" t="n">
        <v>2546.44</v>
      </c>
      <c r="P244" s="58" t="n">
        <v>2363.06</v>
      </c>
      <c r="Q244" s="28">
        <f>SUM(E244:P244)</f>
        <v/>
      </c>
    </row>
    <row r="245">
      <c r="A245" s="91">
        <f>Stammdaten!A87</f>
        <v/>
      </c>
      <c r="B245" s="73">
        <f>Stammdaten!B87</f>
        <v/>
      </c>
      <c r="C245" s="73">
        <f>Stammdaten!C87</f>
        <v/>
      </c>
      <c r="D245" s="135" t="inlineStr">
        <is>
          <t>DB1</t>
        </is>
      </c>
      <c r="E245" s="40">
        <f>E243-E244-Rückstellungen!D87-Rückstellungen!Q87-Rückstellungen!AD87</f>
        <v/>
      </c>
      <c r="F245" s="40">
        <f>F243-F244-Rückstellungen!E87-Rückstellungen!R87-Rückstellungen!AE87</f>
        <v/>
      </c>
      <c r="G245" s="40">
        <f>G243-G244-Rückstellungen!F87-Rückstellungen!S87-Rückstellungen!AF87</f>
        <v/>
      </c>
      <c r="H245" s="40">
        <f>H243-H244-Rückstellungen!G87-Rückstellungen!T87-Rückstellungen!AG87</f>
        <v/>
      </c>
      <c r="I245" s="40">
        <f>I243-I244-Rückstellungen!H87-Rückstellungen!U87-Rückstellungen!AH87</f>
        <v/>
      </c>
      <c r="J245" s="40">
        <f>J243-J244-Rückstellungen!I87-Rückstellungen!V87-Rückstellungen!AI87</f>
        <v/>
      </c>
      <c r="K245" s="40">
        <f>K243-K244-Rückstellungen!J87-Rückstellungen!W87-Rückstellungen!AJ87</f>
        <v/>
      </c>
      <c r="L245" s="40">
        <f>L243-L244-Rückstellungen!K87-Rückstellungen!X87-Rückstellungen!AK87</f>
        <v/>
      </c>
      <c r="M245" s="40">
        <f>M243-M244-Rückstellungen!L87-Rückstellungen!Y87-Rückstellungen!AL87</f>
        <v/>
      </c>
      <c r="N245" s="40">
        <f>N243-N244-Rückstellungen!M87-Rückstellungen!Z87-Rückstellungen!AM87</f>
        <v/>
      </c>
      <c r="O245" s="40">
        <f>O243-O244-Rückstellungen!N87-Rückstellungen!AA87-Rückstellungen!AN87</f>
        <v/>
      </c>
      <c r="P245" s="40">
        <f>P243-P244-Rückstellungen!O87-Rückstellungen!AB87-Rückstellungen!AO87</f>
        <v/>
      </c>
      <c r="Q245" s="59">
        <f>SUM(E245:P245)</f>
        <v/>
      </c>
      <c r="R245" s="126">
        <f>IFERROR(Q245/Q243,0)</f>
        <v/>
      </c>
    </row>
    <row r="246">
      <c r="A246" s="91">
        <f>Stammdaten!A88</f>
        <v/>
      </c>
      <c r="B246" s="73">
        <f>Stammdaten!B88</f>
        <v/>
      </c>
      <c r="C246" s="73">
        <f>Stammdaten!C88</f>
        <v/>
      </c>
      <c r="D246" s="127" t="inlineStr">
        <is>
          <t>Verrechnung</t>
        </is>
      </c>
      <c r="E246" s="58" t="n">
        <v>4312.51</v>
      </c>
      <c r="F246" s="58" t="n">
        <v>4315.19</v>
      </c>
      <c r="G246" s="58" t="n">
        <v>4211.21</v>
      </c>
      <c r="H246" s="58" t="n">
        <v>4192.37</v>
      </c>
      <c r="I246" s="58" t="n">
        <v>4111.1</v>
      </c>
      <c r="J246" s="58" t="n">
        <v>4072.92</v>
      </c>
      <c r="K246" s="58" t="n">
        <v>3736.27</v>
      </c>
      <c r="L246" s="58" t="n">
        <v>4150.33</v>
      </c>
      <c r="M246" s="58" t="n">
        <v>4060.44</v>
      </c>
      <c r="N246" s="58" t="n">
        <v>4095.81</v>
      </c>
      <c r="O246" s="58" t="n">
        <v>4132.12</v>
      </c>
      <c r="P246" s="58" t="n">
        <v>3387.16</v>
      </c>
      <c r="Q246" s="28">
        <f>SUM(E246:P246)</f>
        <v/>
      </c>
    </row>
    <row r="247">
      <c r="A247" s="91">
        <f>Stammdaten!A88</f>
        <v/>
      </c>
      <c r="B247" s="73">
        <f>Stammdaten!B88</f>
        <v/>
      </c>
      <c r="C247" s="73">
        <f>Stammdaten!C88</f>
        <v/>
      </c>
      <c r="D247" s="128" t="inlineStr">
        <is>
          <t>Selbstkosten</t>
        </is>
      </c>
      <c r="E247" s="58" t="n">
        <v>3604.99</v>
      </c>
      <c r="F247" s="58" t="n">
        <v>3748.34</v>
      </c>
      <c r="G247" s="58" t="n">
        <v>3543.46</v>
      </c>
      <c r="H247" s="58" t="n">
        <v>3571.06</v>
      </c>
      <c r="I247" s="58" t="n">
        <v>3367.78</v>
      </c>
      <c r="J247" s="58" t="n">
        <v>3557.36</v>
      </c>
      <c r="K247" s="58" t="n">
        <v>3252.59</v>
      </c>
      <c r="L247" s="58" t="n">
        <v>3548.28</v>
      </c>
      <c r="M247" s="58" t="n">
        <v>3336.4</v>
      </c>
      <c r="N247" s="58" t="n">
        <v>3474.91</v>
      </c>
      <c r="O247" s="58" t="n">
        <v>3385.22</v>
      </c>
      <c r="P247" s="58" t="n">
        <v>2928.39</v>
      </c>
      <c r="Q247" s="28">
        <f>SUM(E247:P247)</f>
        <v/>
      </c>
    </row>
    <row r="248">
      <c r="A248" s="91">
        <f>Stammdaten!A88</f>
        <v/>
      </c>
      <c r="B248" s="73">
        <f>Stammdaten!B88</f>
        <v/>
      </c>
      <c r="C248" s="73">
        <f>Stammdaten!C88</f>
        <v/>
      </c>
      <c r="D248" s="135" t="inlineStr">
        <is>
          <t>DB1</t>
        </is>
      </c>
      <c r="E248" s="40">
        <f>E246-E247-Rückstellungen!D88-Rückstellungen!Q88-Rückstellungen!AD88</f>
        <v/>
      </c>
      <c r="F248" s="40">
        <f>F246-F247-Rückstellungen!E88-Rückstellungen!R88-Rückstellungen!AE88</f>
        <v/>
      </c>
      <c r="G248" s="40">
        <f>G246-G247-Rückstellungen!F88-Rückstellungen!S88-Rückstellungen!AF88</f>
        <v/>
      </c>
      <c r="H248" s="40">
        <f>H246-H247-Rückstellungen!G88-Rückstellungen!T88-Rückstellungen!AG88</f>
        <v/>
      </c>
      <c r="I248" s="40">
        <f>I246-I247-Rückstellungen!H88-Rückstellungen!U88-Rückstellungen!AH88</f>
        <v/>
      </c>
      <c r="J248" s="40">
        <f>J246-J247-Rückstellungen!I88-Rückstellungen!V88-Rückstellungen!AI88</f>
        <v/>
      </c>
      <c r="K248" s="40">
        <f>K246-K247-Rückstellungen!J88-Rückstellungen!W88-Rückstellungen!AJ88</f>
        <v/>
      </c>
      <c r="L248" s="40">
        <f>L246-L247-Rückstellungen!K88-Rückstellungen!X88-Rückstellungen!AK88</f>
        <v/>
      </c>
      <c r="M248" s="40">
        <f>M246-M247-Rückstellungen!L88-Rückstellungen!Y88-Rückstellungen!AL88</f>
        <v/>
      </c>
      <c r="N248" s="40">
        <f>N246-N247-Rückstellungen!M88-Rückstellungen!Z88-Rückstellungen!AM88</f>
        <v/>
      </c>
      <c r="O248" s="40">
        <f>O246-O247-Rückstellungen!N88-Rückstellungen!AA88-Rückstellungen!AN88</f>
        <v/>
      </c>
      <c r="P248" s="40">
        <f>P246-P247-Rückstellungen!O88-Rückstellungen!AB88-Rückstellungen!AO88</f>
        <v/>
      </c>
      <c r="Q248" s="59">
        <f>SUM(E248:P248)</f>
        <v/>
      </c>
      <c r="R248" s="126">
        <f>IFERROR(Q248/Q246,0)</f>
        <v/>
      </c>
    </row>
    <row r="249">
      <c r="A249" s="89">
        <f>Stammdaten!A89</f>
        <v/>
      </c>
      <c r="B249" s="67">
        <f>Stammdaten!B89</f>
        <v/>
      </c>
      <c r="C249" s="67">
        <f>Stammdaten!C89</f>
        <v/>
      </c>
      <c r="D249" s="123" t="inlineStr">
        <is>
          <t>Verrechnung</t>
        </is>
      </c>
      <c r="E249" s="58" t="n">
        <v>5480.59</v>
      </c>
      <c r="F249" s="58" t="n">
        <v>5868.74</v>
      </c>
      <c r="G249" s="58" t="n">
        <v>5434.5</v>
      </c>
      <c r="H249" s="58" t="n">
        <v>5613.65</v>
      </c>
      <c r="I249" s="58" t="n">
        <v>5509.85</v>
      </c>
      <c r="J249" s="58" t="n">
        <v>5571.6</v>
      </c>
      <c r="K249" s="58" t="n">
        <v>4900.17</v>
      </c>
      <c r="L249" s="58" t="n">
        <v>5597.92</v>
      </c>
      <c r="M249" s="58" t="n">
        <v>5798.19</v>
      </c>
      <c r="N249" s="58" t="n">
        <v>5452.45</v>
      </c>
      <c r="O249" s="58" t="n">
        <v>5425.02</v>
      </c>
      <c r="P249" s="58" t="n">
        <v>5288.84</v>
      </c>
      <c r="Q249" s="28">
        <f>SUM(E249:P249)</f>
        <v/>
      </c>
    </row>
    <row r="250">
      <c r="A250" s="89">
        <f>Stammdaten!A89</f>
        <v/>
      </c>
      <c r="B250" s="67">
        <f>Stammdaten!B89</f>
        <v/>
      </c>
      <c r="C250" s="67">
        <f>Stammdaten!C89</f>
        <v/>
      </c>
      <c r="D250" s="124" t="inlineStr">
        <is>
          <t>Selbstkosten</t>
        </is>
      </c>
      <c r="E250" s="58" t="n">
        <v>2572.57</v>
      </c>
      <c r="F250" s="58" t="n">
        <v>2723.48</v>
      </c>
      <c r="G250" s="58" t="n">
        <v>2576.75</v>
      </c>
      <c r="H250" s="58" t="n">
        <v>2681.69</v>
      </c>
      <c r="I250" s="58" t="n">
        <v>2586.96</v>
      </c>
      <c r="J250" s="58" t="n">
        <v>2567.09</v>
      </c>
      <c r="K250" s="58" t="n">
        <v>2205.93</v>
      </c>
      <c r="L250" s="58" t="n">
        <v>2559.7</v>
      </c>
      <c r="M250" s="58" t="n">
        <v>2707.76</v>
      </c>
      <c r="N250" s="58" t="n">
        <v>2569.65</v>
      </c>
      <c r="O250" s="58" t="n">
        <v>2551.75</v>
      </c>
      <c r="P250" s="58" t="n">
        <v>2502.81</v>
      </c>
      <c r="Q250" s="28">
        <f>SUM(E250:P250)</f>
        <v/>
      </c>
    </row>
    <row r="251">
      <c r="A251" s="136">
        <f>Stammdaten!A89</f>
        <v/>
      </c>
      <c r="B251" s="137">
        <f>Stammdaten!B89</f>
        <v/>
      </c>
      <c r="C251" s="137">
        <f>Stammdaten!C89</f>
        <v/>
      </c>
      <c r="D251" s="138" t="inlineStr">
        <is>
          <t>DB1</t>
        </is>
      </c>
      <c r="E251" s="132">
        <f>E249-E250-Rückstellungen!D89-Rückstellungen!Q89-Rückstellungen!AD89</f>
        <v/>
      </c>
      <c r="F251" s="132">
        <f>F249-F250-Rückstellungen!E89-Rückstellungen!R89-Rückstellungen!AE89</f>
        <v/>
      </c>
      <c r="G251" s="132">
        <f>G249-G250-Rückstellungen!F89-Rückstellungen!S89-Rückstellungen!AF89</f>
        <v/>
      </c>
      <c r="H251" s="132">
        <f>H249-H250-Rückstellungen!G89-Rückstellungen!T89-Rückstellungen!AG89</f>
        <v/>
      </c>
      <c r="I251" s="132">
        <f>I249-I250-Rückstellungen!H89-Rückstellungen!U89-Rückstellungen!AH89</f>
        <v/>
      </c>
      <c r="J251" s="132">
        <f>J249-J250-Rückstellungen!I89-Rückstellungen!V89-Rückstellungen!AI89</f>
        <v/>
      </c>
      <c r="K251" s="132">
        <f>K249-K250-Rückstellungen!J89-Rückstellungen!W89-Rückstellungen!AJ89</f>
        <v/>
      </c>
      <c r="L251" s="132">
        <f>L249-L250-Rückstellungen!K89-Rückstellungen!X89-Rückstellungen!AK89</f>
        <v/>
      </c>
      <c r="M251" s="132">
        <f>M249-M250-Rückstellungen!L89-Rückstellungen!Y89-Rückstellungen!AL89</f>
        <v/>
      </c>
      <c r="N251" s="132">
        <f>N249-N250-Rückstellungen!M89-Rückstellungen!Z89-Rückstellungen!AM89</f>
        <v/>
      </c>
      <c r="O251" s="132">
        <f>O249-O250-Rückstellungen!N89-Rückstellungen!AA89-Rückstellungen!AN89</f>
        <v/>
      </c>
      <c r="P251" s="132">
        <f>P249-P250-Rückstellungen!O89-Rückstellungen!AB89-Rückstellungen!AO89</f>
        <v/>
      </c>
      <c r="Q251" s="133">
        <f>SUM(E251:P251)</f>
        <v/>
      </c>
      <c r="R251" s="134">
        <f>IFERROR(Q251/Q249,0)</f>
        <v/>
      </c>
    </row>
    <row r="252">
      <c r="A252" s="89">
        <f>Stammdaten!A90</f>
        <v/>
      </c>
      <c r="B252" s="67">
        <f>Stammdaten!B90</f>
        <v/>
      </c>
      <c r="C252" s="67">
        <f>Stammdaten!C90</f>
        <v/>
      </c>
      <c r="D252" s="123" t="inlineStr">
        <is>
          <t>Verrechnung</t>
        </is>
      </c>
      <c r="E252" s="58" t="n">
        <v>4358.48</v>
      </c>
      <c r="F252" s="58" t="n">
        <v>4422.55</v>
      </c>
      <c r="G252" s="58" t="n">
        <v>4378</v>
      </c>
      <c r="H252" s="58" t="n">
        <v>4271.33</v>
      </c>
      <c r="I252" s="58" t="n">
        <v>4487.55</v>
      </c>
      <c r="J252" s="58" t="n">
        <v>4377.42</v>
      </c>
      <c r="K252" s="58" t="n">
        <v>4168.26</v>
      </c>
      <c r="L252" s="58" t="n">
        <v>4524.68</v>
      </c>
      <c r="M252" s="58" t="n">
        <v>4524.6</v>
      </c>
      <c r="N252" s="58" t="n">
        <v>4237.46</v>
      </c>
      <c r="O252" s="58" t="n">
        <v>4171.54</v>
      </c>
      <c r="P252" s="58" t="n">
        <v>3945.58</v>
      </c>
      <c r="Q252" s="28">
        <f>SUM(E252:P252)</f>
        <v/>
      </c>
    </row>
    <row r="253">
      <c r="A253" s="89">
        <f>Stammdaten!A90</f>
        <v/>
      </c>
      <c r="B253" s="67">
        <f>Stammdaten!B90</f>
        <v/>
      </c>
      <c r="C253" s="67">
        <f>Stammdaten!C90</f>
        <v/>
      </c>
      <c r="D253" s="124" t="inlineStr">
        <is>
          <t>Selbstkosten</t>
        </is>
      </c>
      <c r="E253" s="58" t="n">
        <v>3428.22</v>
      </c>
      <c r="F253" s="58" t="n">
        <v>3471.75</v>
      </c>
      <c r="G253" s="58" t="n">
        <v>3274</v>
      </c>
      <c r="H253" s="58" t="n">
        <v>3230.3</v>
      </c>
      <c r="I253" s="58" t="n">
        <v>3308.07</v>
      </c>
      <c r="J253" s="58" t="n">
        <v>3338.87</v>
      </c>
      <c r="K253" s="58" t="n">
        <v>3097.63</v>
      </c>
      <c r="L253" s="58" t="n">
        <v>3434.92</v>
      </c>
      <c r="M253" s="58" t="n">
        <v>3367.18</v>
      </c>
      <c r="N253" s="58" t="n">
        <v>3159.24</v>
      </c>
      <c r="O253" s="58" t="n">
        <v>3084.78</v>
      </c>
      <c r="P253" s="58" t="n">
        <v>3073.5</v>
      </c>
      <c r="Q253" s="28">
        <f>SUM(E253:P253)</f>
        <v/>
      </c>
    </row>
    <row r="254">
      <c r="A254" s="89">
        <f>Stammdaten!A90</f>
        <v/>
      </c>
      <c r="B254" s="67">
        <f>Stammdaten!B90</f>
        <v/>
      </c>
      <c r="C254" s="67">
        <f>Stammdaten!C90</f>
        <v/>
      </c>
      <c r="D254" s="125" t="inlineStr">
        <is>
          <t>DB1</t>
        </is>
      </c>
      <c r="E254" s="40">
        <f>E252-E253-Rückstellungen!D90-Rückstellungen!Q90-Rückstellungen!AD90</f>
        <v/>
      </c>
      <c r="F254" s="40">
        <f>F252-F253-Rückstellungen!E90-Rückstellungen!R90-Rückstellungen!AE90</f>
        <v/>
      </c>
      <c r="G254" s="40">
        <f>G252-G253-Rückstellungen!F90-Rückstellungen!S90-Rückstellungen!AF90</f>
        <v/>
      </c>
      <c r="H254" s="40">
        <f>H252-H253-Rückstellungen!G90-Rückstellungen!T90-Rückstellungen!AG90</f>
        <v/>
      </c>
      <c r="I254" s="40">
        <f>I252-I253-Rückstellungen!H90-Rückstellungen!U90-Rückstellungen!AH90</f>
        <v/>
      </c>
      <c r="J254" s="40">
        <f>J252-J253-Rückstellungen!I90-Rückstellungen!V90-Rückstellungen!AI90</f>
        <v/>
      </c>
      <c r="K254" s="40">
        <f>K252-K253-Rückstellungen!J90-Rückstellungen!W90-Rückstellungen!AJ90</f>
        <v/>
      </c>
      <c r="L254" s="40">
        <f>L252-L253-Rückstellungen!K90-Rückstellungen!X90-Rückstellungen!AK90</f>
        <v/>
      </c>
      <c r="M254" s="40">
        <f>M252-M253-Rückstellungen!L90-Rückstellungen!Y90-Rückstellungen!AL90</f>
        <v/>
      </c>
      <c r="N254" s="40">
        <f>N252-N253-Rückstellungen!M90-Rückstellungen!Z90-Rückstellungen!AM90</f>
        <v/>
      </c>
      <c r="O254" s="40">
        <f>O252-O253-Rückstellungen!N90-Rückstellungen!AA90-Rückstellungen!AN90</f>
        <v/>
      </c>
      <c r="P254" s="40">
        <f>P252-P253-Rückstellungen!O90-Rückstellungen!AB90-Rückstellungen!AO90</f>
        <v/>
      </c>
      <c r="Q254" s="59">
        <f>SUM(E254:P254)</f>
        <v/>
      </c>
      <c r="R254" s="126">
        <f>IFERROR(Q254/Q252,0)</f>
        <v/>
      </c>
    </row>
    <row r="255">
      <c r="A255" s="89">
        <f>Stammdaten!A91</f>
        <v/>
      </c>
      <c r="B255" s="67">
        <f>Stammdaten!B91</f>
        <v/>
      </c>
      <c r="C255" s="67">
        <f>Stammdaten!C91</f>
        <v/>
      </c>
      <c r="D255" s="123" t="inlineStr">
        <is>
          <t>Verrechnung</t>
        </is>
      </c>
      <c r="E255" s="58" t="n">
        <v>4176.83</v>
      </c>
      <c r="F255" s="58" t="n">
        <v>3942.19</v>
      </c>
      <c r="G255" s="58" t="n">
        <v>4112.66</v>
      </c>
      <c r="H255" s="58" t="n">
        <v>4100.79</v>
      </c>
      <c r="I255" s="58" t="n">
        <v>3914.81</v>
      </c>
      <c r="J255" s="58" t="n">
        <v>4125.68</v>
      </c>
      <c r="K255" s="58" t="n">
        <v>3423.91</v>
      </c>
      <c r="L255" s="58" t="n">
        <v>4123.88</v>
      </c>
      <c r="M255" s="58" t="n">
        <v>3947.02</v>
      </c>
      <c r="N255" s="58" t="n">
        <v>4196.05</v>
      </c>
      <c r="O255" s="58" t="n">
        <v>4228.29</v>
      </c>
      <c r="P255" s="58" t="n">
        <v>3828.18</v>
      </c>
      <c r="Q255" s="28">
        <f>SUM(E255:P255)</f>
        <v/>
      </c>
    </row>
    <row r="256">
      <c r="A256" s="89">
        <f>Stammdaten!A91</f>
        <v/>
      </c>
      <c r="B256" s="67">
        <f>Stammdaten!B91</f>
        <v/>
      </c>
      <c r="C256" s="67">
        <f>Stammdaten!C91</f>
        <v/>
      </c>
      <c r="D256" s="124" t="inlineStr">
        <is>
          <t>Selbstkosten</t>
        </is>
      </c>
      <c r="E256" s="58" t="n">
        <v>2107.63</v>
      </c>
      <c r="F256" s="58" t="n">
        <v>1955.18</v>
      </c>
      <c r="G256" s="58" t="n">
        <v>2082.23</v>
      </c>
      <c r="H256" s="58" t="n">
        <v>2084.76</v>
      </c>
      <c r="I256" s="58" t="n">
        <v>1961.01</v>
      </c>
      <c r="J256" s="58" t="n">
        <v>2078.18</v>
      </c>
      <c r="K256" s="58" t="n">
        <v>1699.34</v>
      </c>
      <c r="L256" s="58" t="n">
        <v>2103.26</v>
      </c>
      <c r="M256" s="58" t="n">
        <v>1896.36</v>
      </c>
      <c r="N256" s="58" t="n">
        <v>2114.21</v>
      </c>
      <c r="O256" s="58" t="n">
        <v>2144.19</v>
      </c>
      <c r="P256" s="58" t="n">
        <v>1911.61</v>
      </c>
      <c r="Q256" s="28">
        <f>SUM(E256:P256)</f>
        <v/>
      </c>
    </row>
    <row r="257">
      <c r="A257" s="89">
        <f>Stammdaten!A91</f>
        <v/>
      </c>
      <c r="B257" s="67">
        <f>Stammdaten!B91</f>
        <v/>
      </c>
      <c r="C257" s="67">
        <f>Stammdaten!C91</f>
        <v/>
      </c>
      <c r="D257" s="125" t="inlineStr">
        <is>
          <t>DB1</t>
        </is>
      </c>
      <c r="E257" s="40">
        <f>E255-E256-Rückstellungen!D91-Rückstellungen!Q91-Rückstellungen!AD91</f>
        <v/>
      </c>
      <c r="F257" s="40">
        <f>F255-F256-Rückstellungen!E91-Rückstellungen!R91-Rückstellungen!AE91</f>
        <v/>
      </c>
      <c r="G257" s="40">
        <f>G255-G256-Rückstellungen!F91-Rückstellungen!S91-Rückstellungen!AF91</f>
        <v/>
      </c>
      <c r="H257" s="40">
        <f>H255-H256-Rückstellungen!G91-Rückstellungen!T91-Rückstellungen!AG91</f>
        <v/>
      </c>
      <c r="I257" s="40">
        <f>I255-I256-Rückstellungen!H91-Rückstellungen!U91-Rückstellungen!AH91</f>
        <v/>
      </c>
      <c r="J257" s="40">
        <f>J255-J256-Rückstellungen!I91-Rückstellungen!V91-Rückstellungen!AI91</f>
        <v/>
      </c>
      <c r="K257" s="40">
        <f>K255-K256-Rückstellungen!J91-Rückstellungen!W91-Rückstellungen!AJ91</f>
        <v/>
      </c>
      <c r="L257" s="40">
        <f>L255-L256-Rückstellungen!K91-Rückstellungen!X91-Rückstellungen!AK91</f>
        <v/>
      </c>
      <c r="M257" s="40">
        <f>M255-M256-Rückstellungen!L91-Rückstellungen!Y91-Rückstellungen!AL91</f>
        <v/>
      </c>
      <c r="N257" s="40">
        <f>N255-N256-Rückstellungen!M91-Rückstellungen!Z91-Rückstellungen!AM91</f>
        <v/>
      </c>
      <c r="O257" s="40">
        <f>O255-O256-Rückstellungen!N91-Rückstellungen!AA91-Rückstellungen!AN91</f>
        <v/>
      </c>
      <c r="P257" s="40">
        <f>P255-P256-Rückstellungen!O91-Rückstellungen!AB91-Rückstellungen!AO91</f>
        <v/>
      </c>
      <c r="Q257" s="59">
        <f>SUM(E257:P257)</f>
        <v/>
      </c>
      <c r="R257" s="126">
        <f>IFERROR(Q257/Q255,0)</f>
        <v/>
      </c>
    </row>
    <row r="258">
      <c r="A258" s="89">
        <f>Stammdaten!A92</f>
        <v/>
      </c>
      <c r="B258" s="67">
        <f>Stammdaten!B92</f>
        <v/>
      </c>
      <c r="C258" s="67">
        <f>Stammdaten!C92</f>
        <v/>
      </c>
      <c r="D258" s="123" t="inlineStr">
        <is>
          <t>Verrechnung</t>
        </is>
      </c>
      <c r="E258" s="58" t="n">
        <v>5410.21</v>
      </c>
      <c r="F258" s="58" t="n">
        <v>5546</v>
      </c>
      <c r="G258" s="58" t="n">
        <v>5406.7</v>
      </c>
      <c r="H258" s="58" t="n">
        <v>5550.74</v>
      </c>
      <c r="I258" s="58" t="n">
        <v>5445.51</v>
      </c>
      <c r="J258" s="58" t="n">
        <v>5395.28</v>
      </c>
      <c r="K258" s="58" t="n">
        <v>5071.42</v>
      </c>
      <c r="L258" s="58" t="n">
        <v>5632.71</v>
      </c>
      <c r="M258" s="58" t="n">
        <v>5688.56</v>
      </c>
      <c r="N258" s="58" t="n">
        <v>5360.11</v>
      </c>
      <c r="O258" s="58" t="n">
        <v>5591.56</v>
      </c>
      <c r="P258" s="58" t="n">
        <v>5164.38</v>
      </c>
      <c r="Q258" s="28">
        <f>SUM(E258:P258)</f>
        <v/>
      </c>
    </row>
    <row r="259">
      <c r="A259" s="89">
        <f>Stammdaten!A92</f>
        <v/>
      </c>
      <c r="B259" s="67">
        <f>Stammdaten!B92</f>
        <v/>
      </c>
      <c r="C259" s="67">
        <f>Stammdaten!C92</f>
        <v/>
      </c>
      <c r="D259" s="124" t="inlineStr">
        <is>
          <t>Selbstkosten</t>
        </is>
      </c>
      <c r="E259" s="58" t="n">
        <v>2589.64</v>
      </c>
      <c r="F259" s="58" t="n">
        <v>2614.93</v>
      </c>
      <c r="G259" s="58" t="n">
        <v>2634.57</v>
      </c>
      <c r="H259" s="58" t="n">
        <v>2552.48</v>
      </c>
      <c r="I259" s="58" t="n">
        <v>2543.58</v>
      </c>
      <c r="J259" s="58" t="n">
        <v>2532.47</v>
      </c>
      <c r="K259" s="58" t="n">
        <v>2465.14</v>
      </c>
      <c r="L259" s="58" t="n">
        <v>2708.55</v>
      </c>
      <c r="M259" s="58" t="n">
        <v>2649.46</v>
      </c>
      <c r="N259" s="58" t="n">
        <v>2587.9</v>
      </c>
      <c r="O259" s="58" t="n">
        <v>2621.46</v>
      </c>
      <c r="P259" s="58" t="n">
        <v>2381.64</v>
      </c>
      <c r="Q259" s="28">
        <f>SUM(E259:P259)</f>
        <v/>
      </c>
    </row>
    <row r="260">
      <c r="A260" s="89">
        <f>Stammdaten!A92</f>
        <v/>
      </c>
      <c r="B260" s="67">
        <f>Stammdaten!B92</f>
        <v/>
      </c>
      <c r="C260" s="67">
        <f>Stammdaten!C92</f>
        <v/>
      </c>
      <c r="D260" s="125" t="inlineStr">
        <is>
          <t>DB1</t>
        </is>
      </c>
      <c r="E260" s="40">
        <f>E258-E259-Rückstellungen!D92-Rückstellungen!Q92-Rückstellungen!AD92</f>
        <v/>
      </c>
      <c r="F260" s="40">
        <f>F258-F259-Rückstellungen!E92-Rückstellungen!R92-Rückstellungen!AE92</f>
        <v/>
      </c>
      <c r="G260" s="40">
        <f>G258-G259-Rückstellungen!F92-Rückstellungen!S92-Rückstellungen!AF92</f>
        <v/>
      </c>
      <c r="H260" s="40">
        <f>H258-H259-Rückstellungen!G92-Rückstellungen!T92-Rückstellungen!AG92</f>
        <v/>
      </c>
      <c r="I260" s="40">
        <f>I258-I259-Rückstellungen!H92-Rückstellungen!U92-Rückstellungen!AH92</f>
        <v/>
      </c>
      <c r="J260" s="40">
        <f>J258-J259-Rückstellungen!I92-Rückstellungen!V92-Rückstellungen!AI92</f>
        <v/>
      </c>
      <c r="K260" s="40">
        <f>K258-K259-Rückstellungen!J92-Rückstellungen!W92-Rückstellungen!AJ92</f>
        <v/>
      </c>
      <c r="L260" s="40">
        <f>L258-L259-Rückstellungen!K92-Rückstellungen!X92-Rückstellungen!AK92</f>
        <v/>
      </c>
      <c r="M260" s="40">
        <f>M258-M259-Rückstellungen!L92-Rückstellungen!Y92-Rückstellungen!AL92</f>
        <v/>
      </c>
      <c r="N260" s="40">
        <f>N258-N259-Rückstellungen!M92-Rückstellungen!Z92-Rückstellungen!AM92</f>
        <v/>
      </c>
      <c r="O260" s="40">
        <f>O258-O259-Rückstellungen!N92-Rückstellungen!AA92-Rückstellungen!AN92</f>
        <v/>
      </c>
      <c r="P260" s="40">
        <f>P258-P259-Rückstellungen!O92-Rückstellungen!AB92-Rückstellungen!AO92</f>
        <v/>
      </c>
      <c r="Q260" s="59">
        <f>SUM(E260:P260)</f>
        <v/>
      </c>
      <c r="R260" s="126">
        <f>IFERROR(Q260/Q258,0)</f>
        <v/>
      </c>
    </row>
    <row r="261">
      <c r="A261" s="89">
        <f>Stammdaten!A93</f>
        <v/>
      </c>
      <c r="B261" s="67">
        <f>Stammdaten!B93</f>
        <v/>
      </c>
      <c r="C261" s="67">
        <f>Stammdaten!C93</f>
        <v/>
      </c>
      <c r="D261" s="123" t="inlineStr">
        <is>
          <t>Verrechnung</t>
        </is>
      </c>
      <c r="E261" s="58" t="n">
        <v>5031.55</v>
      </c>
      <c r="F261" s="58" t="n">
        <v>4981.67</v>
      </c>
      <c r="G261" s="58" t="n">
        <v>5170.09</v>
      </c>
      <c r="H261" s="58" t="n">
        <v>5133.12</v>
      </c>
      <c r="I261" s="58" t="n">
        <v>5165.13</v>
      </c>
      <c r="J261" s="58" t="n">
        <v>5069.55</v>
      </c>
      <c r="K261" s="58" t="n">
        <v>4682.97</v>
      </c>
      <c r="L261" s="58" t="n">
        <v>4827.88</v>
      </c>
      <c r="M261" s="58" t="n">
        <v>4975.56</v>
      </c>
      <c r="N261" s="58" t="n">
        <v>4979.16</v>
      </c>
      <c r="O261" s="58" t="n">
        <v>4992.06</v>
      </c>
      <c r="P261" s="58" t="n">
        <v>4586.14</v>
      </c>
      <c r="Q261" s="28">
        <f>SUM(E261:P261)</f>
        <v/>
      </c>
    </row>
    <row r="262">
      <c r="A262" s="89">
        <f>Stammdaten!A93</f>
        <v/>
      </c>
      <c r="B262" s="67">
        <f>Stammdaten!B93</f>
        <v/>
      </c>
      <c r="C262" s="67">
        <f>Stammdaten!C93</f>
        <v/>
      </c>
      <c r="D262" s="124" t="inlineStr">
        <is>
          <t>Selbstkosten</t>
        </is>
      </c>
      <c r="E262" s="58" t="n">
        <v>2546.1</v>
      </c>
      <c r="F262" s="58" t="n">
        <v>2440.13</v>
      </c>
      <c r="G262" s="58" t="n">
        <v>2534.14</v>
      </c>
      <c r="H262" s="58" t="n">
        <v>2577.06</v>
      </c>
      <c r="I262" s="58" t="n">
        <v>2615.12</v>
      </c>
      <c r="J262" s="58" t="n">
        <v>2504.16</v>
      </c>
      <c r="K262" s="58" t="n">
        <v>2294.06</v>
      </c>
      <c r="L262" s="58" t="n">
        <v>2363.84</v>
      </c>
      <c r="M262" s="58" t="n">
        <v>2462.18</v>
      </c>
      <c r="N262" s="58" t="n">
        <v>2510.43</v>
      </c>
      <c r="O262" s="58" t="n">
        <v>2597.57</v>
      </c>
      <c r="P262" s="58" t="n">
        <v>2316.24</v>
      </c>
      <c r="Q262" s="28">
        <f>SUM(E262:P262)</f>
        <v/>
      </c>
    </row>
    <row r="263">
      <c r="A263" s="89">
        <f>Stammdaten!A93</f>
        <v/>
      </c>
      <c r="B263" s="67">
        <f>Stammdaten!B93</f>
        <v/>
      </c>
      <c r="C263" s="67">
        <f>Stammdaten!C93</f>
        <v/>
      </c>
      <c r="D263" s="125" t="inlineStr">
        <is>
          <t>DB1</t>
        </is>
      </c>
      <c r="E263" s="40">
        <f>E261-E262-Rückstellungen!D93-Rückstellungen!Q93-Rückstellungen!AD93</f>
        <v/>
      </c>
      <c r="F263" s="40">
        <f>F261-F262-Rückstellungen!E93-Rückstellungen!R93-Rückstellungen!AE93</f>
        <v/>
      </c>
      <c r="G263" s="40">
        <f>G261-G262-Rückstellungen!F93-Rückstellungen!S93-Rückstellungen!AF93</f>
        <v/>
      </c>
      <c r="H263" s="40">
        <f>H261-H262-Rückstellungen!G93-Rückstellungen!T93-Rückstellungen!AG93</f>
        <v/>
      </c>
      <c r="I263" s="40">
        <f>I261-I262-Rückstellungen!H93-Rückstellungen!U93-Rückstellungen!AH93</f>
        <v/>
      </c>
      <c r="J263" s="40">
        <f>J261-J262-Rückstellungen!I93-Rückstellungen!V93-Rückstellungen!AI93</f>
        <v/>
      </c>
      <c r="K263" s="40">
        <f>K261-K262-Rückstellungen!J93-Rückstellungen!W93-Rückstellungen!AJ93</f>
        <v/>
      </c>
      <c r="L263" s="40">
        <f>L261-L262-Rückstellungen!K93-Rückstellungen!X93-Rückstellungen!AK93</f>
        <v/>
      </c>
      <c r="M263" s="40">
        <f>M261-M262-Rückstellungen!L93-Rückstellungen!Y93-Rückstellungen!AL93</f>
        <v/>
      </c>
      <c r="N263" s="40">
        <f>N261-N262-Rückstellungen!M93-Rückstellungen!Z93-Rückstellungen!AM93</f>
        <v/>
      </c>
      <c r="O263" s="40">
        <f>O261-O262-Rückstellungen!N93-Rückstellungen!AA93-Rückstellungen!AN93</f>
        <v/>
      </c>
      <c r="P263" s="40">
        <f>P261-P262-Rückstellungen!O93-Rückstellungen!AB93-Rückstellungen!AO93</f>
        <v/>
      </c>
      <c r="Q263" s="59">
        <f>SUM(E263:P263)</f>
        <v/>
      </c>
      <c r="R263" s="126">
        <f>IFERROR(Q263/Q261,0)</f>
        <v/>
      </c>
    </row>
    <row r="264">
      <c r="A264" s="89">
        <f>Stammdaten!A94</f>
        <v/>
      </c>
      <c r="B264" s="67">
        <f>Stammdaten!B94</f>
        <v/>
      </c>
      <c r="C264" s="67">
        <f>Stammdaten!C94</f>
        <v/>
      </c>
      <c r="D264" s="123" t="inlineStr">
        <is>
          <t>Verrechnung</t>
        </is>
      </c>
      <c r="E264" s="58" t="n">
        <v>5075.9</v>
      </c>
      <c r="F264" s="58" t="n">
        <v>5205.45</v>
      </c>
      <c r="G264" s="58" t="n">
        <v>5202.38</v>
      </c>
      <c r="H264" s="58" t="n">
        <v>4838.85</v>
      </c>
      <c r="I264" s="58" t="n">
        <v>5212.76</v>
      </c>
      <c r="J264" s="58" t="n">
        <v>4923.4</v>
      </c>
      <c r="K264" s="58" t="n">
        <v>4314.88</v>
      </c>
      <c r="L264" s="58" t="n">
        <v>5058.68</v>
      </c>
      <c r="M264" s="58" t="n">
        <v>5264.04</v>
      </c>
      <c r="N264" s="58" t="n">
        <v>5040.95</v>
      </c>
      <c r="O264" s="58" t="n">
        <v>4904.8</v>
      </c>
      <c r="P264" s="58" t="n">
        <v>4473.43</v>
      </c>
      <c r="Q264" s="28">
        <f>SUM(E264:P264)</f>
        <v/>
      </c>
    </row>
    <row r="265">
      <c r="A265" s="89">
        <f>Stammdaten!A94</f>
        <v/>
      </c>
      <c r="B265" s="67">
        <f>Stammdaten!B94</f>
        <v/>
      </c>
      <c r="C265" s="67">
        <f>Stammdaten!C94</f>
        <v/>
      </c>
      <c r="D265" s="124" t="inlineStr">
        <is>
          <t>Selbstkosten</t>
        </is>
      </c>
      <c r="E265" s="58" t="n">
        <v>2581.98</v>
      </c>
      <c r="F265" s="58" t="n">
        <v>2631.93</v>
      </c>
      <c r="G265" s="58" t="n">
        <v>2599.02</v>
      </c>
      <c r="H265" s="58" t="n">
        <v>2410.34</v>
      </c>
      <c r="I265" s="58" t="n">
        <v>2732.93</v>
      </c>
      <c r="J265" s="58" t="n">
        <v>2482.74</v>
      </c>
      <c r="K265" s="58" t="n">
        <v>2242.37</v>
      </c>
      <c r="L265" s="58" t="n">
        <v>2667.52</v>
      </c>
      <c r="M265" s="58" t="n">
        <v>2741.41</v>
      </c>
      <c r="N265" s="58" t="n">
        <v>2525.94</v>
      </c>
      <c r="O265" s="58" t="n">
        <v>2575.17</v>
      </c>
      <c r="P265" s="58" t="n">
        <v>2371.46</v>
      </c>
      <c r="Q265" s="28">
        <f>SUM(E265:P265)</f>
        <v/>
      </c>
    </row>
    <row r="266">
      <c r="A266" s="89">
        <f>Stammdaten!A94</f>
        <v/>
      </c>
      <c r="B266" s="67">
        <f>Stammdaten!B94</f>
        <v/>
      </c>
      <c r="C266" s="67">
        <f>Stammdaten!C94</f>
        <v/>
      </c>
      <c r="D266" s="125" t="inlineStr">
        <is>
          <t>DB1</t>
        </is>
      </c>
      <c r="E266" s="40">
        <f>E264-E265-Rückstellungen!D94-Rückstellungen!Q94-Rückstellungen!AD94</f>
        <v/>
      </c>
      <c r="F266" s="40">
        <f>F264-F265-Rückstellungen!E94-Rückstellungen!R94-Rückstellungen!AE94</f>
        <v/>
      </c>
      <c r="G266" s="40">
        <f>G264-G265-Rückstellungen!F94-Rückstellungen!S94-Rückstellungen!AF94</f>
        <v/>
      </c>
      <c r="H266" s="40">
        <f>H264-H265-Rückstellungen!G94-Rückstellungen!T94-Rückstellungen!AG94</f>
        <v/>
      </c>
      <c r="I266" s="40">
        <f>I264-I265-Rückstellungen!H94-Rückstellungen!U94-Rückstellungen!AH94</f>
        <v/>
      </c>
      <c r="J266" s="40">
        <f>J264-J265-Rückstellungen!I94-Rückstellungen!V94-Rückstellungen!AI94</f>
        <v/>
      </c>
      <c r="K266" s="40">
        <f>K264-K265-Rückstellungen!J94-Rückstellungen!W94-Rückstellungen!AJ94</f>
        <v/>
      </c>
      <c r="L266" s="40">
        <f>L264-L265-Rückstellungen!K94-Rückstellungen!X94-Rückstellungen!AK94</f>
        <v/>
      </c>
      <c r="M266" s="40">
        <f>M264-M265-Rückstellungen!L94-Rückstellungen!Y94-Rückstellungen!AL94</f>
        <v/>
      </c>
      <c r="N266" s="40">
        <f>N264-N265-Rückstellungen!M94-Rückstellungen!Z94-Rückstellungen!AM94</f>
        <v/>
      </c>
      <c r="O266" s="40">
        <f>O264-O265-Rückstellungen!N94-Rückstellungen!AA94-Rückstellungen!AN94</f>
        <v/>
      </c>
      <c r="P266" s="40">
        <f>P264-P265-Rückstellungen!O94-Rückstellungen!AB94-Rückstellungen!AO94</f>
        <v/>
      </c>
      <c r="Q266" s="59">
        <f>SUM(E266:P266)</f>
        <v/>
      </c>
      <c r="R266" s="126">
        <f>IFERROR(Q266/Q264,0)</f>
        <v/>
      </c>
    </row>
    <row r="267">
      <c r="A267" s="89">
        <f>Stammdaten!A95</f>
        <v/>
      </c>
      <c r="B267" s="67">
        <f>Stammdaten!B95</f>
        <v/>
      </c>
      <c r="C267" s="67">
        <f>Stammdaten!C95</f>
        <v/>
      </c>
      <c r="D267" s="123" t="inlineStr">
        <is>
          <t>Verrechnung</t>
        </is>
      </c>
      <c r="E267" s="58" t="n">
        <v>6119.49</v>
      </c>
      <c r="F267" s="58" t="n">
        <v>5888.47</v>
      </c>
      <c r="G267" s="58" t="n">
        <v>5805.45</v>
      </c>
      <c r="H267" s="58" t="n">
        <v>5975.59</v>
      </c>
      <c r="I267" s="58" t="n">
        <v>5649.43</v>
      </c>
      <c r="J267" s="58" t="n">
        <v>6157.07</v>
      </c>
      <c r="K267" s="58" t="n">
        <v>5467.37</v>
      </c>
      <c r="L267" s="58" t="n">
        <v>6007.78</v>
      </c>
      <c r="M267" s="58" t="n">
        <v>5823.52</v>
      </c>
      <c r="N267" s="58" t="n">
        <v>5817.62</v>
      </c>
      <c r="O267" s="58" t="n">
        <v>5992.8</v>
      </c>
      <c r="P267" s="58" t="n">
        <v>5332.59</v>
      </c>
      <c r="Q267" s="28">
        <f>SUM(E267:P267)</f>
        <v/>
      </c>
    </row>
    <row r="268">
      <c r="A268" s="89">
        <f>Stammdaten!A95</f>
        <v/>
      </c>
      <c r="B268" s="67">
        <f>Stammdaten!B95</f>
        <v/>
      </c>
      <c r="C268" s="67">
        <f>Stammdaten!C95</f>
        <v/>
      </c>
      <c r="D268" s="124" t="inlineStr">
        <is>
          <t>Selbstkosten</t>
        </is>
      </c>
      <c r="E268" s="58" t="n">
        <v>3060.87</v>
      </c>
      <c r="F268" s="58" t="n">
        <v>2818.49</v>
      </c>
      <c r="G268" s="58" t="n">
        <v>2838.46</v>
      </c>
      <c r="H268" s="58" t="n">
        <v>2934.62</v>
      </c>
      <c r="I268" s="58" t="n">
        <v>2854.16</v>
      </c>
      <c r="J268" s="58" t="n">
        <v>3077.11</v>
      </c>
      <c r="K268" s="58" t="n">
        <v>2628.92</v>
      </c>
      <c r="L268" s="58" t="n">
        <v>2929.44</v>
      </c>
      <c r="M268" s="58" t="n">
        <v>2798.94</v>
      </c>
      <c r="N268" s="58" t="n">
        <v>2796.19</v>
      </c>
      <c r="O268" s="58" t="n">
        <v>3018.01</v>
      </c>
      <c r="P268" s="58" t="n">
        <v>2606.66</v>
      </c>
      <c r="Q268" s="28">
        <f>SUM(E268:P268)</f>
        <v/>
      </c>
    </row>
    <row r="269">
      <c r="A269" s="89">
        <f>Stammdaten!A95</f>
        <v/>
      </c>
      <c r="B269" s="67">
        <f>Stammdaten!B95</f>
        <v/>
      </c>
      <c r="C269" s="67">
        <f>Stammdaten!C95</f>
        <v/>
      </c>
      <c r="D269" s="125" t="inlineStr">
        <is>
          <t>DB1</t>
        </is>
      </c>
      <c r="E269" s="40">
        <f>E267-E268-Rückstellungen!D95-Rückstellungen!Q95-Rückstellungen!AD95</f>
        <v/>
      </c>
      <c r="F269" s="40">
        <f>F267-F268-Rückstellungen!E95-Rückstellungen!R95-Rückstellungen!AE95</f>
        <v/>
      </c>
      <c r="G269" s="40">
        <f>G267-G268-Rückstellungen!F95-Rückstellungen!S95-Rückstellungen!AF95</f>
        <v/>
      </c>
      <c r="H269" s="40">
        <f>H267-H268-Rückstellungen!G95-Rückstellungen!T95-Rückstellungen!AG95</f>
        <v/>
      </c>
      <c r="I269" s="40">
        <f>I267-I268-Rückstellungen!H95-Rückstellungen!U95-Rückstellungen!AH95</f>
        <v/>
      </c>
      <c r="J269" s="40">
        <f>J267-J268-Rückstellungen!I95-Rückstellungen!V95-Rückstellungen!AI95</f>
        <v/>
      </c>
      <c r="K269" s="40">
        <f>K267-K268-Rückstellungen!J95-Rückstellungen!W95-Rückstellungen!AJ95</f>
        <v/>
      </c>
      <c r="L269" s="40">
        <f>L267-L268-Rückstellungen!K95-Rückstellungen!X95-Rückstellungen!AK95</f>
        <v/>
      </c>
      <c r="M269" s="40">
        <f>M267-M268-Rückstellungen!L95-Rückstellungen!Y95-Rückstellungen!AL95</f>
        <v/>
      </c>
      <c r="N269" s="40">
        <f>N267-N268-Rückstellungen!M95-Rückstellungen!Z95-Rückstellungen!AM95</f>
        <v/>
      </c>
      <c r="O269" s="40">
        <f>O267-O268-Rückstellungen!N95-Rückstellungen!AA95-Rückstellungen!AN95</f>
        <v/>
      </c>
      <c r="P269" s="40">
        <f>P267-P268-Rückstellungen!O95-Rückstellungen!AB95-Rückstellungen!AO95</f>
        <v/>
      </c>
      <c r="Q269" s="59">
        <f>SUM(E269:P269)</f>
        <v/>
      </c>
      <c r="R269" s="126">
        <f>IFERROR(Q269/Q267,0)</f>
        <v/>
      </c>
    </row>
    <row r="270">
      <c r="A270" s="89">
        <f>Stammdaten!A96</f>
        <v/>
      </c>
      <c r="B270" s="67">
        <f>Stammdaten!B96</f>
        <v/>
      </c>
      <c r="C270" s="67">
        <f>Stammdaten!C96</f>
        <v/>
      </c>
      <c r="D270" s="123" t="inlineStr">
        <is>
          <t>Verrechnung</t>
        </is>
      </c>
      <c r="E270" s="58" t="n">
        <v>4512.72</v>
      </c>
      <c r="F270" s="58" t="n">
        <v>4319.87</v>
      </c>
      <c r="G270" s="58" t="n">
        <v>4204.22</v>
      </c>
      <c r="H270" s="58" t="n">
        <v>4310.44</v>
      </c>
      <c r="I270" s="58" t="n">
        <v>4353.3</v>
      </c>
      <c r="J270" s="58" t="n">
        <v>4423.46</v>
      </c>
      <c r="K270" s="58" t="n">
        <v>4103.69</v>
      </c>
      <c r="L270" s="58" t="n">
        <v>4464.07</v>
      </c>
      <c r="M270" s="58" t="n">
        <v>4381.27</v>
      </c>
      <c r="N270" s="58" t="n">
        <v>4335.17</v>
      </c>
      <c r="O270" s="58" t="n">
        <v>4261.05</v>
      </c>
      <c r="P270" s="58" t="n">
        <v>3951.97</v>
      </c>
      <c r="Q270" s="28">
        <f>SUM(E270:P270)</f>
        <v/>
      </c>
    </row>
    <row r="271">
      <c r="A271" s="89">
        <f>Stammdaten!A96</f>
        <v/>
      </c>
      <c r="B271" s="67">
        <f>Stammdaten!B96</f>
        <v/>
      </c>
      <c r="C271" s="67">
        <f>Stammdaten!C96</f>
        <v/>
      </c>
      <c r="D271" s="124" t="inlineStr">
        <is>
          <t>Selbstkosten</t>
        </is>
      </c>
      <c r="E271" s="58" t="n">
        <v>3732.82</v>
      </c>
      <c r="F271" s="58" t="n">
        <v>3507.11</v>
      </c>
      <c r="G271" s="58" t="n">
        <v>3500.38</v>
      </c>
      <c r="H271" s="58" t="n">
        <v>3691.21</v>
      </c>
      <c r="I271" s="58" t="n">
        <v>3684.94</v>
      </c>
      <c r="J271" s="58" t="n">
        <v>3810.53</v>
      </c>
      <c r="K271" s="58" t="n">
        <v>3468.09</v>
      </c>
      <c r="L271" s="58" t="n">
        <v>3753.23</v>
      </c>
      <c r="M271" s="58" t="n">
        <v>3760.44</v>
      </c>
      <c r="N271" s="58" t="n">
        <v>3559.83</v>
      </c>
      <c r="O271" s="58" t="n">
        <v>3587.3</v>
      </c>
      <c r="P271" s="58" t="n">
        <v>3284.27</v>
      </c>
      <c r="Q271" s="28">
        <f>SUM(E271:P271)</f>
        <v/>
      </c>
    </row>
    <row r="272">
      <c r="A272" s="89">
        <f>Stammdaten!A96</f>
        <v/>
      </c>
      <c r="B272" s="67">
        <f>Stammdaten!B96</f>
        <v/>
      </c>
      <c r="C272" s="67">
        <f>Stammdaten!C96</f>
        <v/>
      </c>
      <c r="D272" s="125" t="inlineStr">
        <is>
          <t>DB1</t>
        </is>
      </c>
      <c r="E272" s="40">
        <f>E270-E271-Rückstellungen!D96-Rückstellungen!Q96-Rückstellungen!AD96</f>
        <v/>
      </c>
      <c r="F272" s="40">
        <f>F270-F271-Rückstellungen!E96-Rückstellungen!R96-Rückstellungen!AE96</f>
        <v/>
      </c>
      <c r="G272" s="40">
        <f>G270-G271-Rückstellungen!F96-Rückstellungen!S96-Rückstellungen!AF96</f>
        <v/>
      </c>
      <c r="H272" s="40">
        <f>H270-H271-Rückstellungen!G96-Rückstellungen!T96-Rückstellungen!AG96</f>
        <v/>
      </c>
      <c r="I272" s="40">
        <f>I270-I271-Rückstellungen!H96-Rückstellungen!U96-Rückstellungen!AH96</f>
        <v/>
      </c>
      <c r="J272" s="40">
        <f>J270-J271-Rückstellungen!I96-Rückstellungen!V96-Rückstellungen!AI96</f>
        <v/>
      </c>
      <c r="K272" s="40">
        <f>K270-K271-Rückstellungen!J96-Rückstellungen!W96-Rückstellungen!AJ96</f>
        <v/>
      </c>
      <c r="L272" s="40">
        <f>L270-L271-Rückstellungen!K96-Rückstellungen!X96-Rückstellungen!AK96</f>
        <v/>
      </c>
      <c r="M272" s="40">
        <f>M270-M271-Rückstellungen!L96-Rückstellungen!Y96-Rückstellungen!AL96</f>
        <v/>
      </c>
      <c r="N272" s="40">
        <f>N270-N271-Rückstellungen!M96-Rückstellungen!Z96-Rückstellungen!AM96</f>
        <v/>
      </c>
      <c r="O272" s="40">
        <f>O270-O271-Rückstellungen!N96-Rückstellungen!AA96-Rückstellungen!AN96</f>
        <v/>
      </c>
      <c r="P272" s="40">
        <f>P270-P271-Rückstellungen!O96-Rückstellungen!AB96-Rückstellungen!AO96</f>
        <v/>
      </c>
      <c r="Q272" s="59">
        <f>SUM(E272:P272)</f>
        <v/>
      </c>
      <c r="R272" s="126">
        <f>IFERROR(Q272/Q270,0)</f>
        <v/>
      </c>
    </row>
    <row r="273">
      <c r="A273" s="89">
        <f>Stammdaten!A97</f>
        <v/>
      </c>
      <c r="B273" s="67">
        <f>Stammdaten!B97</f>
        <v/>
      </c>
      <c r="C273" s="67">
        <f>Stammdaten!C97</f>
        <v/>
      </c>
      <c r="D273" s="123" t="inlineStr">
        <is>
          <t>Verrechnung</t>
        </is>
      </c>
      <c r="E273" s="58" t="n">
        <v>6222.53</v>
      </c>
      <c r="F273" s="58" t="n">
        <v>6215.53</v>
      </c>
      <c r="G273" s="58" t="n">
        <v>5851.54</v>
      </c>
      <c r="H273" s="58" t="n">
        <v>6200.4</v>
      </c>
      <c r="I273" s="58" t="n">
        <v>6208.68</v>
      </c>
      <c r="J273" s="58" t="n">
        <v>6046.78</v>
      </c>
      <c r="K273" s="58" t="n">
        <v>4978.23</v>
      </c>
      <c r="L273" s="58" t="n">
        <v>6043.95</v>
      </c>
      <c r="M273" s="58" t="n">
        <v>5985.87</v>
      </c>
      <c r="N273" s="58" t="n">
        <v>5796.49</v>
      </c>
      <c r="O273" s="58" t="n">
        <v>6016.83</v>
      </c>
      <c r="P273" s="58" t="n">
        <v>5548.64</v>
      </c>
      <c r="Q273" s="28">
        <f>SUM(E273:P273)</f>
        <v/>
      </c>
    </row>
    <row r="274">
      <c r="A274" s="89">
        <f>Stammdaten!A97</f>
        <v/>
      </c>
      <c r="B274" s="67">
        <f>Stammdaten!B97</f>
        <v/>
      </c>
      <c r="C274" s="67">
        <f>Stammdaten!C97</f>
        <v/>
      </c>
      <c r="D274" s="124" t="inlineStr">
        <is>
          <t>Selbstkosten</t>
        </is>
      </c>
      <c r="E274" s="58" t="n">
        <v>3370.37</v>
      </c>
      <c r="F274" s="58" t="n">
        <v>3300.06</v>
      </c>
      <c r="G274" s="58" t="n">
        <v>3014.51</v>
      </c>
      <c r="H274" s="58" t="n">
        <v>3238.95</v>
      </c>
      <c r="I274" s="58" t="n">
        <v>3232.19</v>
      </c>
      <c r="J274" s="58" t="n">
        <v>3168.28</v>
      </c>
      <c r="K274" s="58" t="n">
        <v>2639.48</v>
      </c>
      <c r="L274" s="58" t="n">
        <v>3201.49</v>
      </c>
      <c r="M274" s="58" t="n">
        <v>3077.4</v>
      </c>
      <c r="N274" s="58" t="n">
        <v>3083.15</v>
      </c>
      <c r="O274" s="58" t="n">
        <v>3141.44</v>
      </c>
      <c r="P274" s="58" t="n">
        <v>3014.58</v>
      </c>
      <c r="Q274" s="28">
        <f>SUM(E274:P274)</f>
        <v/>
      </c>
    </row>
    <row r="275">
      <c r="A275" s="89">
        <f>Stammdaten!A97</f>
        <v/>
      </c>
      <c r="B275" s="67">
        <f>Stammdaten!B97</f>
        <v/>
      </c>
      <c r="C275" s="67">
        <f>Stammdaten!C97</f>
        <v/>
      </c>
      <c r="D275" s="125" t="inlineStr">
        <is>
          <t>DB1</t>
        </is>
      </c>
      <c r="E275" s="40">
        <f>E273-E274-Rückstellungen!D97-Rückstellungen!Q97-Rückstellungen!AD97</f>
        <v/>
      </c>
      <c r="F275" s="40">
        <f>F273-F274-Rückstellungen!E97-Rückstellungen!R97-Rückstellungen!AE97</f>
        <v/>
      </c>
      <c r="G275" s="40">
        <f>G273-G274-Rückstellungen!F97-Rückstellungen!S97-Rückstellungen!AF97</f>
        <v/>
      </c>
      <c r="H275" s="40">
        <f>H273-H274-Rückstellungen!G97-Rückstellungen!T97-Rückstellungen!AG97</f>
        <v/>
      </c>
      <c r="I275" s="40">
        <f>I273-I274-Rückstellungen!H97-Rückstellungen!U97-Rückstellungen!AH97</f>
        <v/>
      </c>
      <c r="J275" s="40">
        <f>J273-J274-Rückstellungen!I97-Rückstellungen!V97-Rückstellungen!AI97</f>
        <v/>
      </c>
      <c r="K275" s="40">
        <f>K273-K274-Rückstellungen!J97-Rückstellungen!W97-Rückstellungen!AJ97</f>
        <v/>
      </c>
      <c r="L275" s="40">
        <f>L273-L274-Rückstellungen!K97-Rückstellungen!X97-Rückstellungen!AK97</f>
        <v/>
      </c>
      <c r="M275" s="40">
        <f>M273-M274-Rückstellungen!L97-Rückstellungen!Y97-Rückstellungen!AL97</f>
        <v/>
      </c>
      <c r="N275" s="40">
        <f>N273-N274-Rückstellungen!M97-Rückstellungen!Z97-Rückstellungen!AM97</f>
        <v/>
      </c>
      <c r="O275" s="40">
        <f>O273-O274-Rückstellungen!N97-Rückstellungen!AA97-Rückstellungen!AN97</f>
        <v/>
      </c>
      <c r="P275" s="40">
        <f>P273-P274-Rückstellungen!O97-Rückstellungen!AB97-Rückstellungen!AO97</f>
        <v/>
      </c>
      <c r="Q275" s="59">
        <f>SUM(E275:P275)</f>
        <v/>
      </c>
      <c r="R275" s="126">
        <f>IFERROR(Q275/Q273,0)</f>
        <v/>
      </c>
    </row>
    <row r="276">
      <c r="A276" s="89">
        <f>Stammdaten!A98</f>
        <v/>
      </c>
      <c r="B276" s="67">
        <f>Stammdaten!B98</f>
        <v/>
      </c>
      <c r="C276" s="67">
        <f>Stammdaten!C98</f>
        <v/>
      </c>
      <c r="D276" s="123" t="inlineStr">
        <is>
          <t>Verrechnung</t>
        </is>
      </c>
      <c r="E276" s="58" t="n">
        <v>4925.73</v>
      </c>
      <c r="F276" s="58" t="n">
        <v>4873.21</v>
      </c>
      <c r="G276" s="58" t="n">
        <v>4542.84</v>
      </c>
      <c r="H276" s="58" t="n">
        <v>4925.72</v>
      </c>
      <c r="I276" s="58" t="n">
        <v>4533.2</v>
      </c>
      <c r="J276" s="58" t="n">
        <v>4597.19</v>
      </c>
      <c r="K276" s="58" t="n">
        <v>4205.73</v>
      </c>
      <c r="L276" s="58" t="n">
        <v>4838.27</v>
      </c>
      <c r="M276" s="58" t="n">
        <v>4692.01</v>
      </c>
      <c r="N276" s="58" t="n">
        <v>4690.03</v>
      </c>
      <c r="O276" s="58" t="n">
        <v>4510.66</v>
      </c>
      <c r="P276" s="58" t="n">
        <v>4604.25</v>
      </c>
      <c r="Q276" s="28">
        <f>SUM(E276:P276)</f>
        <v/>
      </c>
    </row>
    <row r="277">
      <c r="A277" s="89">
        <f>Stammdaten!A98</f>
        <v/>
      </c>
      <c r="B277" s="67">
        <f>Stammdaten!B98</f>
        <v/>
      </c>
      <c r="C277" s="67">
        <f>Stammdaten!C98</f>
        <v/>
      </c>
      <c r="D277" s="124" t="inlineStr">
        <is>
          <t>Selbstkosten</t>
        </is>
      </c>
      <c r="E277" s="58" t="n">
        <v>2732.61</v>
      </c>
      <c r="F277" s="58" t="n">
        <v>2710.64</v>
      </c>
      <c r="G277" s="58" t="n">
        <v>2554.29</v>
      </c>
      <c r="H277" s="58" t="n">
        <v>2765.83</v>
      </c>
      <c r="I277" s="58" t="n">
        <v>2570.33</v>
      </c>
      <c r="J277" s="58" t="n">
        <v>2665.17</v>
      </c>
      <c r="K277" s="58" t="n">
        <v>2440.17</v>
      </c>
      <c r="L277" s="58" t="n">
        <v>2681.45</v>
      </c>
      <c r="M277" s="58" t="n">
        <v>2656.16</v>
      </c>
      <c r="N277" s="58" t="n">
        <v>2663.96</v>
      </c>
      <c r="O277" s="58" t="n">
        <v>2572.15</v>
      </c>
      <c r="P277" s="58" t="n">
        <v>2690.88</v>
      </c>
      <c r="Q277" s="28">
        <f>SUM(E277:P277)</f>
        <v/>
      </c>
    </row>
    <row r="278">
      <c r="A278" s="89">
        <f>Stammdaten!A98</f>
        <v/>
      </c>
      <c r="B278" s="67">
        <f>Stammdaten!B98</f>
        <v/>
      </c>
      <c r="C278" s="67">
        <f>Stammdaten!C98</f>
        <v/>
      </c>
      <c r="D278" s="125" t="inlineStr">
        <is>
          <t>DB1</t>
        </is>
      </c>
      <c r="E278" s="40">
        <f>E276-E277-Rückstellungen!D98-Rückstellungen!Q98-Rückstellungen!AD98</f>
        <v/>
      </c>
      <c r="F278" s="40">
        <f>F276-F277-Rückstellungen!E98-Rückstellungen!R98-Rückstellungen!AE98</f>
        <v/>
      </c>
      <c r="G278" s="40">
        <f>G276-G277-Rückstellungen!F98-Rückstellungen!S98-Rückstellungen!AF98</f>
        <v/>
      </c>
      <c r="H278" s="40">
        <f>H276-H277-Rückstellungen!G98-Rückstellungen!T98-Rückstellungen!AG98</f>
        <v/>
      </c>
      <c r="I278" s="40">
        <f>I276-I277-Rückstellungen!H98-Rückstellungen!U98-Rückstellungen!AH98</f>
        <v/>
      </c>
      <c r="J278" s="40">
        <f>J276-J277-Rückstellungen!I98-Rückstellungen!V98-Rückstellungen!AI98</f>
        <v/>
      </c>
      <c r="K278" s="40">
        <f>K276-K277-Rückstellungen!J98-Rückstellungen!W98-Rückstellungen!AJ98</f>
        <v/>
      </c>
      <c r="L278" s="40">
        <f>L276-L277-Rückstellungen!K98-Rückstellungen!X98-Rückstellungen!AK98</f>
        <v/>
      </c>
      <c r="M278" s="40">
        <f>M276-M277-Rückstellungen!L98-Rückstellungen!Y98-Rückstellungen!AL98</f>
        <v/>
      </c>
      <c r="N278" s="40">
        <f>N276-N277-Rückstellungen!M98-Rückstellungen!Z98-Rückstellungen!AM98</f>
        <v/>
      </c>
      <c r="O278" s="40">
        <f>O276-O277-Rückstellungen!N98-Rückstellungen!AA98-Rückstellungen!AN98</f>
        <v/>
      </c>
      <c r="P278" s="40">
        <f>P276-P277-Rückstellungen!O98-Rückstellungen!AB98-Rückstellungen!AO98</f>
        <v/>
      </c>
      <c r="Q278" s="59">
        <f>SUM(E278:P278)</f>
        <v/>
      </c>
      <c r="R278" s="126">
        <f>IFERROR(Q278/Q276,0)</f>
        <v/>
      </c>
    </row>
    <row r="279">
      <c r="A279" s="91">
        <f>Stammdaten!A99</f>
        <v/>
      </c>
      <c r="B279" s="73">
        <f>Stammdaten!B99</f>
        <v/>
      </c>
      <c r="C279" s="73">
        <f>Stammdaten!C99</f>
        <v/>
      </c>
      <c r="D279" s="127" t="inlineStr">
        <is>
          <t>Verrechnung</t>
        </is>
      </c>
      <c r="E279" s="58" t="n">
        <v>5783.27</v>
      </c>
      <c r="F279" s="58" t="n">
        <v>5903.67</v>
      </c>
      <c r="G279" s="58" t="n">
        <v>5950.18</v>
      </c>
      <c r="H279" s="58" t="n">
        <v>6053.83</v>
      </c>
      <c r="I279" s="58" t="n">
        <v>5816.42</v>
      </c>
      <c r="J279" s="58" t="n">
        <v>6295.08</v>
      </c>
      <c r="K279" s="58" t="n">
        <v>5534</v>
      </c>
      <c r="L279" s="58" t="n">
        <v>6153.25</v>
      </c>
      <c r="M279" s="58" t="n">
        <v>6320.92</v>
      </c>
      <c r="N279" s="58" t="n">
        <v>6187.58</v>
      </c>
      <c r="O279" s="58" t="n">
        <v>6272.55</v>
      </c>
      <c r="P279" s="58" t="n">
        <v>5030.77</v>
      </c>
      <c r="Q279" s="28">
        <f>SUM(E279:P279)</f>
        <v/>
      </c>
    </row>
    <row r="280">
      <c r="A280" s="91">
        <f>Stammdaten!A99</f>
        <v/>
      </c>
      <c r="B280" s="73">
        <f>Stammdaten!B99</f>
        <v/>
      </c>
      <c r="C280" s="73">
        <f>Stammdaten!C99</f>
        <v/>
      </c>
      <c r="D280" s="128" t="inlineStr">
        <is>
          <t>Selbstkosten</t>
        </is>
      </c>
      <c r="E280" s="58" t="n">
        <v>2671.8</v>
      </c>
      <c r="F280" s="58" t="n">
        <v>2754.22</v>
      </c>
      <c r="G280" s="58" t="n">
        <v>2630.05</v>
      </c>
      <c r="H280" s="58" t="n">
        <v>2714.85</v>
      </c>
      <c r="I280" s="58" t="n">
        <v>2560.43</v>
      </c>
      <c r="J280" s="58" t="n">
        <v>2852.9</v>
      </c>
      <c r="K280" s="58" t="n">
        <v>2504.08</v>
      </c>
      <c r="L280" s="58" t="n">
        <v>2725.86</v>
      </c>
      <c r="M280" s="58" t="n">
        <v>2871.46</v>
      </c>
      <c r="N280" s="58" t="n">
        <v>2747.16</v>
      </c>
      <c r="O280" s="58" t="n">
        <v>2913.41</v>
      </c>
      <c r="P280" s="58" t="n">
        <v>2364.18</v>
      </c>
      <c r="Q280" s="28">
        <f>SUM(E280:P280)</f>
        <v/>
      </c>
    </row>
    <row r="281">
      <c r="A281" s="129">
        <f>Stammdaten!A99</f>
        <v/>
      </c>
      <c r="B281" s="130">
        <f>Stammdaten!B99</f>
        <v/>
      </c>
      <c r="C281" s="130">
        <f>Stammdaten!C99</f>
        <v/>
      </c>
      <c r="D281" s="131" t="inlineStr">
        <is>
          <t>DB1</t>
        </is>
      </c>
      <c r="E281" s="132">
        <f>E279-E280-Rückstellungen!D99-Rückstellungen!Q99-Rückstellungen!AD99</f>
        <v/>
      </c>
      <c r="F281" s="132">
        <f>F279-F280-Rückstellungen!E99-Rückstellungen!R99-Rückstellungen!AE99</f>
        <v/>
      </c>
      <c r="G281" s="132">
        <f>G279-G280-Rückstellungen!F99-Rückstellungen!S99-Rückstellungen!AF99</f>
        <v/>
      </c>
      <c r="H281" s="132">
        <f>H279-H280-Rückstellungen!G99-Rückstellungen!T99-Rückstellungen!AG99</f>
        <v/>
      </c>
      <c r="I281" s="132">
        <f>I279-I280-Rückstellungen!H99-Rückstellungen!U99-Rückstellungen!AH99</f>
        <v/>
      </c>
      <c r="J281" s="132">
        <f>J279-J280-Rückstellungen!I99-Rückstellungen!V99-Rückstellungen!AI99</f>
        <v/>
      </c>
      <c r="K281" s="132">
        <f>K279-K280-Rückstellungen!J99-Rückstellungen!W99-Rückstellungen!AJ99</f>
        <v/>
      </c>
      <c r="L281" s="132">
        <f>L279-L280-Rückstellungen!K99-Rückstellungen!X99-Rückstellungen!AK99</f>
        <v/>
      </c>
      <c r="M281" s="132">
        <f>M279-M280-Rückstellungen!L99-Rückstellungen!Y99-Rückstellungen!AL99</f>
        <v/>
      </c>
      <c r="N281" s="132">
        <f>N279-N280-Rückstellungen!M99-Rückstellungen!Z99-Rückstellungen!AM99</f>
        <v/>
      </c>
      <c r="O281" s="132">
        <f>O279-O280-Rückstellungen!N99-Rückstellungen!AA99-Rückstellungen!AN99</f>
        <v/>
      </c>
      <c r="P281" s="132">
        <f>P279-P280-Rückstellungen!O99-Rückstellungen!AB99-Rückstellungen!AO99</f>
        <v/>
      </c>
      <c r="Q281" s="133">
        <f>SUM(E281:P281)</f>
        <v/>
      </c>
      <c r="R281" s="134">
        <f>IFERROR(Q281/Q279,0)</f>
        <v/>
      </c>
    </row>
    <row r="282">
      <c r="A282" s="91">
        <f>Stammdaten!A100</f>
        <v/>
      </c>
      <c r="B282" s="73">
        <f>Stammdaten!B100</f>
        <v/>
      </c>
      <c r="C282" s="73">
        <f>Stammdaten!C100</f>
        <v/>
      </c>
      <c r="D282" s="127" t="inlineStr">
        <is>
          <t>Verrechnung</t>
        </is>
      </c>
      <c r="E282" s="58" t="n">
        <v>4152.17</v>
      </c>
      <c r="F282" s="58" t="n">
        <v>4409.6</v>
      </c>
      <c r="G282" s="58" t="n">
        <v>4351.19</v>
      </c>
      <c r="H282" s="58" t="n">
        <v>4344.57</v>
      </c>
      <c r="I282" s="58" t="n">
        <v>4123.23</v>
      </c>
      <c r="J282" s="58" t="n">
        <v>4426.53</v>
      </c>
      <c r="K282" s="58" t="n">
        <v>3693.81</v>
      </c>
      <c r="L282" s="58" t="n">
        <v>4202.04</v>
      </c>
      <c r="M282" s="58" t="n">
        <v>4183.86</v>
      </c>
      <c r="N282" s="58" t="n">
        <v>4108.36</v>
      </c>
      <c r="O282" s="58" t="n">
        <v>4143.64</v>
      </c>
      <c r="P282" s="58" t="n">
        <v>4045.19</v>
      </c>
      <c r="Q282" s="28">
        <f>SUM(E282:P282)</f>
        <v/>
      </c>
    </row>
    <row r="283">
      <c r="A283" s="91">
        <f>Stammdaten!A100</f>
        <v/>
      </c>
      <c r="B283" s="73">
        <f>Stammdaten!B100</f>
        <v/>
      </c>
      <c r="C283" s="73">
        <f>Stammdaten!C100</f>
        <v/>
      </c>
      <c r="D283" s="128" t="inlineStr">
        <is>
          <t>Selbstkosten</t>
        </is>
      </c>
      <c r="E283" s="58" t="n">
        <v>3284.52</v>
      </c>
      <c r="F283" s="58" t="n">
        <v>3407.73</v>
      </c>
      <c r="G283" s="58" t="n">
        <v>3456.16</v>
      </c>
      <c r="H283" s="58" t="n">
        <v>3409.07</v>
      </c>
      <c r="I283" s="58" t="n">
        <v>3126.63</v>
      </c>
      <c r="J283" s="58" t="n">
        <v>3342.23</v>
      </c>
      <c r="K283" s="58" t="n">
        <v>2804.1</v>
      </c>
      <c r="L283" s="58" t="n">
        <v>3321.86</v>
      </c>
      <c r="M283" s="58" t="n">
        <v>3303.82</v>
      </c>
      <c r="N283" s="58" t="n">
        <v>3185.11</v>
      </c>
      <c r="O283" s="58" t="n">
        <v>3234.84</v>
      </c>
      <c r="P283" s="58" t="n">
        <v>3135.7</v>
      </c>
      <c r="Q283" s="28">
        <f>SUM(E283:P283)</f>
        <v/>
      </c>
    </row>
    <row r="284">
      <c r="A284" s="91">
        <f>Stammdaten!A100</f>
        <v/>
      </c>
      <c r="B284" s="73">
        <f>Stammdaten!B100</f>
        <v/>
      </c>
      <c r="C284" s="73">
        <f>Stammdaten!C100</f>
        <v/>
      </c>
      <c r="D284" s="135" t="inlineStr">
        <is>
          <t>DB1</t>
        </is>
      </c>
      <c r="E284" s="40">
        <f>E282-E283-Rückstellungen!D100-Rückstellungen!Q100-Rückstellungen!AD100</f>
        <v/>
      </c>
      <c r="F284" s="40">
        <f>F282-F283-Rückstellungen!E100-Rückstellungen!R100-Rückstellungen!AE100</f>
        <v/>
      </c>
      <c r="G284" s="40">
        <f>G282-G283-Rückstellungen!F100-Rückstellungen!S100-Rückstellungen!AF100</f>
        <v/>
      </c>
      <c r="H284" s="40">
        <f>H282-H283-Rückstellungen!G100-Rückstellungen!T100-Rückstellungen!AG100</f>
        <v/>
      </c>
      <c r="I284" s="40">
        <f>I282-I283-Rückstellungen!H100-Rückstellungen!U100-Rückstellungen!AH100</f>
        <v/>
      </c>
      <c r="J284" s="40">
        <f>J282-J283-Rückstellungen!I100-Rückstellungen!V100-Rückstellungen!AI100</f>
        <v/>
      </c>
      <c r="K284" s="40">
        <f>K282-K283-Rückstellungen!J100-Rückstellungen!W100-Rückstellungen!AJ100</f>
        <v/>
      </c>
      <c r="L284" s="40">
        <f>L282-L283-Rückstellungen!K100-Rückstellungen!X100-Rückstellungen!AK100</f>
        <v/>
      </c>
      <c r="M284" s="40">
        <f>M282-M283-Rückstellungen!L100-Rückstellungen!Y100-Rückstellungen!AL100</f>
        <v/>
      </c>
      <c r="N284" s="40">
        <f>N282-N283-Rückstellungen!M100-Rückstellungen!Z100-Rückstellungen!AM100</f>
        <v/>
      </c>
      <c r="O284" s="40">
        <f>O282-O283-Rückstellungen!N100-Rückstellungen!AA100-Rückstellungen!AN100</f>
        <v/>
      </c>
      <c r="P284" s="40">
        <f>P282-P283-Rückstellungen!O100-Rückstellungen!AB100-Rückstellungen!AO100</f>
        <v/>
      </c>
      <c r="Q284" s="59">
        <f>SUM(E284:P284)</f>
        <v/>
      </c>
      <c r="R284" s="126">
        <f>IFERROR(Q284/Q282,0)</f>
        <v/>
      </c>
    </row>
    <row r="285">
      <c r="A285" s="91">
        <f>Stammdaten!A101</f>
        <v/>
      </c>
      <c r="B285" s="73">
        <f>Stammdaten!B101</f>
        <v/>
      </c>
      <c r="C285" s="73">
        <f>Stammdaten!C101</f>
        <v/>
      </c>
      <c r="D285" s="127" t="inlineStr">
        <is>
          <t>Verrechnung</t>
        </is>
      </c>
      <c r="E285" s="58" t="n">
        <v>6381.33</v>
      </c>
      <c r="F285" s="58" t="n">
        <v>6506.65</v>
      </c>
      <c r="G285" s="58" t="n">
        <v>6669.96</v>
      </c>
      <c r="H285" s="58" t="n">
        <v>6783.7</v>
      </c>
      <c r="I285" s="58" t="n">
        <v>6455.37</v>
      </c>
      <c r="J285" s="58" t="n">
        <v>6536.02</v>
      </c>
      <c r="K285" s="58" t="n">
        <v>6058.72</v>
      </c>
      <c r="L285" s="58" t="n">
        <v>6224</v>
      </c>
      <c r="M285" s="58" t="n">
        <v>6280.93</v>
      </c>
      <c r="N285" s="58" t="n">
        <v>6504.53</v>
      </c>
      <c r="O285" s="58" t="n">
        <v>6670.88</v>
      </c>
      <c r="P285" s="58" t="n">
        <v>6317.86</v>
      </c>
      <c r="Q285" s="28">
        <f>SUM(E285:P285)</f>
        <v/>
      </c>
    </row>
    <row r="286">
      <c r="A286" s="91">
        <f>Stammdaten!A101</f>
        <v/>
      </c>
      <c r="B286" s="73">
        <f>Stammdaten!B101</f>
        <v/>
      </c>
      <c r="C286" s="73">
        <f>Stammdaten!C101</f>
        <v/>
      </c>
      <c r="D286" s="128" t="inlineStr">
        <is>
          <t>Selbstkosten</t>
        </is>
      </c>
      <c r="E286" s="58" t="n">
        <v>3468.4</v>
      </c>
      <c r="F286" s="58" t="n">
        <v>3494.06</v>
      </c>
      <c r="G286" s="58" t="n">
        <v>3636.85</v>
      </c>
      <c r="H286" s="58" t="n">
        <v>3579.61</v>
      </c>
      <c r="I286" s="58" t="n">
        <v>3359.02</v>
      </c>
      <c r="J286" s="58" t="n">
        <v>3582.95</v>
      </c>
      <c r="K286" s="58" t="n">
        <v>3169.3</v>
      </c>
      <c r="L286" s="58" t="n">
        <v>3222.14</v>
      </c>
      <c r="M286" s="58" t="n">
        <v>3364.72</v>
      </c>
      <c r="N286" s="58" t="n">
        <v>3575.13</v>
      </c>
      <c r="O286" s="58" t="n">
        <v>3450.03</v>
      </c>
      <c r="P286" s="58" t="n">
        <v>3400.97</v>
      </c>
      <c r="Q286" s="28">
        <f>SUM(E286:P286)</f>
        <v/>
      </c>
    </row>
    <row r="287">
      <c r="A287" s="91">
        <f>Stammdaten!A101</f>
        <v/>
      </c>
      <c r="B287" s="73">
        <f>Stammdaten!B101</f>
        <v/>
      </c>
      <c r="C287" s="73">
        <f>Stammdaten!C101</f>
        <v/>
      </c>
      <c r="D287" s="135" t="inlineStr">
        <is>
          <t>DB1</t>
        </is>
      </c>
      <c r="E287" s="40">
        <f>E285-E286-Rückstellungen!D101-Rückstellungen!Q101-Rückstellungen!AD101</f>
        <v/>
      </c>
      <c r="F287" s="40">
        <f>F285-F286-Rückstellungen!E101-Rückstellungen!R101-Rückstellungen!AE101</f>
        <v/>
      </c>
      <c r="G287" s="40">
        <f>G285-G286-Rückstellungen!F101-Rückstellungen!S101-Rückstellungen!AF101</f>
        <v/>
      </c>
      <c r="H287" s="40">
        <f>H285-H286-Rückstellungen!G101-Rückstellungen!T101-Rückstellungen!AG101</f>
        <v/>
      </c>
      <c r="I287" s="40">
        <f>I285-I286-Rückstellungen!H101-Rückstellungen!U101-Rückstellungen!AH101</f>
        <v/>
      </c>
      <c r="J287" s="40">
        <f>J285-J286-Rückstellungen!I101-Rückstellungen!V101-Rückstellungen!AI101</f>
        <v/>
      </c>
      <c r="K287" s="40">
        <f>K285-K286-Rückstellungen!J101-Rückstellungen!W101-Rückstellungen!AJ101</f>
        <v/>
      </c>
      <c r="L287" s="40">
        <f>L285-L286-Rückstellungen!K101-Rückstellungen!X101-Rückstellungen!AK101</f>
        <v/>
      </c>
      <c r="M287" s="40">
        <f>M285-M286-Rückstellungen!L101-Rückstellungen!Y101-Rückstellungen!AL101</f>
        <v/>
      </c>
      <c r="N287" s="40">
        <f>N285-N286-Rückstellungen!M101-Rückstellungen!Z101-Rückstellungen!AM101</f>
        <v/>
      </c>
      <c r="O287" s="40">
        <f>O285-O286-Rückstellungen!N101-Rückstellungen!AA101-Rückstellungen!AN101</f>
        <v/>
      </c>
      <c r="P287" s="40">
        <f>P285-P286-Rückstellungen!O101-Rückstellungen!AB101-Rückstellungen!AO101</f>
        <v/>
      </c>
      <c r="Q287" s="59">
        <f>SUM(E287:P287)</f>
        <v/>
      </c>
      <c r="R287" s="126">
        <f>IFERROR(Q287/Q285,0)</f>
        <v/>
      </c>
    </row>
    <row r="288">
      <c r="A288" s="91">
        <f>Stammdaten!A102</f>
        <v/>
      </c>
      <c r="B288" s="73">
        <f>Stammdaten!B102</f>
        <v/>
      </c>
      <c r="C288" s="73">
        <f>Stammdaten!C102</f>
        <v/>
      </c>
      <c r="D288" s="127" t="inlineStr">
        <is>
          <t>Verrechnung</t>
        </is>
      </c>
      <c r="E288" s="58" t="n">
        <v>4881.95</v>
      </c>
      <c r="F288" s="58" t="n">
        <v>5257.35</v>
      </c>
      <c r="G288" s="58" t="n">
        <v>5023.23</v>
      </c>
      <c r="H288" s="58" t="n">
        <v>5053.2</v>
      </c>
      <c r="I288" s="58" t="n">
        <v>5246.92</v>
      </c>
      <c r="J288" s="58" t="n">
        <v>4863.55</v>
      </c>
      <c r="K288" s="58" t="n">
        <v>4646.54</v>
      </c>
      <c r="L288" s="58" t="n">
        <v>5294.23</v>
      </c>
      <c r="M288" s="58" t="n">
        <v>5193.08</v>
      </c>
      <c r="N288" s="58" t="n">
        <v>5015.27</v>
      </c>
      <c r="O288" s="58" t="n">
        <v>5041.47</v>
      </c>
      <c r="P288" s="58" t="n">
        <v>4916.22</v>
      </c>
      <c r="Q288" s="28">
        <f>SUM(E288:P288)</f>
        <v/>
      </c>
    </row>
    <row r="289">
      <c r="A289" s="91">
        <f>Stammdaten!A102</f>
        <v/>
      </c>
      <c r="B289" s="73">
        <f>Stammdaten!B102</f>
        <v/>
      </c>
      <c r="C289" s="73">
        <f>Stammdaten!C102</f>
        <v/>
      </c>
      <c r="D289" s="128" t="inlineStr">
        <is>
          <t>Selbstkosten</t>
        </is>
      </c>
      <c r="E289" s="58" t="n">
        <v>2428.17</v>
      </c>
      <c r="F289" s="58" t="n">
        <v>2621.84</v>
      </c>
      <c r="G289" s="58" t="n">
        <v>2475.2</v>
      </c>
      <c r="H289" s="58" t="n">
        <v>2393.88</v>
      </c>
      <c r="I289" s="58" t="n">
        <v>2623.41</v>
      </c>
      <c r="J289" s="58" t="n">
        <v>2307.74</v>
      </c>
      <c r="K289" s="58" t="n">
        <v>2323.89</v>
      </c>
      <c r="L289" s="58" t="n">
        <v>2535.42</v>
      </c>
      <c r="M289" s="58" t="n">
        <v>2505.35</v>
      </c>
      <c r="N289" s="58" t="n">
        <v>2375.56</v>
      </c>
      <c r="O289" s="58" t="n">
        <v>2446.55</v>
      </c>
      <c r="P289" s="58" t="n">
        <v>2389.39</v>
      </c>
      <c r="Q289" s="28">
        <f>SUM(E289:P289)</f>
        <v/>
      </c>
    </row>
    <row r="290">
      <c r="A290" s="91">
        <f>Stammdaten!A102</f>
        <v/>
      </c>
      <c r="B290" s="73">
        <f>Stammdaten!B102</f>
        <v/>
      </c>
      <c r="C290" s="73">
        <f>Stammdaten!C102</f>
        <v/>
      </c>
      <c r="D290" s="135" t="inlineStr">
        <is>
          <t>DB1</t>
        </is>
      </c>
      <c r="E290" s="40">
        <f>E288-E289-Rückstellungen!D102-Rückstellungen!Q102-Rückstellungen!AD102</f>
        <v/>
      </c>
      <c r="F290" s="40">
        <f>F288-F289-Rückstellungen!E102-Rückstellungen!R102-Rückstellungen!AE102</f>
        <v/>
      </c>
      <c r="G290" s="40">
        <f>G288-G289-Rückstellungen!F102-Rückstellungen!S102-Rückstellungen!AF102</f>
        <v/>
      </c>
      <c r="H290" s="40">
        <f>H288-H289-Rückstellungen!G102-Rückstellungen!T102-Rückstellungen!AG102</f>
        <v/>
      </c>
      <c r="I290" s="40">
        <f>I288-I289-Rückstellungen!H102-Rückstellungen!U102-Rückstellungen!AH102</f>
        <v/>
      </c>
      <c r="J290" s="40">
        <f>J288-J289-Rückstellungen!I102-Rückstellungen!V102-Rückstellungen!AI102</f>
        <v/>
      </c>
      <c r="K290" s="40">
        <f>K288-K289-Rückstellungen!J102-Rückstellungen!W102-Rückstellungen!AJ102</f>
        <v/>
      </c>
      <c r="L290" s="40">
        <f>L288-L289-Rückstellungen!K102-Rückstellungen!X102-Rückstellungen!AK102</f>
        <v/>
      </c>
      <c r="M290" s="40">
        <f>M288-M289-Rückstellungen!L102-Rückstellungen!Y102-Rückstellungen!AL102</f>
        <v/>
      </c>
      <c r="N290" s="40">
        <f>N288-N289-Rückstellungen!M102-Rückstellungen!Z102-Rückstellungen!AM102</f>
        <v/>
      </c>
      <c r="O290" s="40">
        <f>O288-O289-Rückstellungen!N102-Rückstellungen!AA102-Rückstellungen!AN102</f>
        <v/>
      </c>
      <c r="P290" s="40">
        <f>P288-P289-Rückstellungen!O102-Rückstellungen!AB102-Rückstellungen!AO102</f>
        <v/>
      </c>
      <c r="Q290" s="59">
        <f>SUM(E290:P290)</f>
        <v/>
      </c>
      <c r="R290" s="126">
        <f>IFERROR(Q290/Q288,0)</f>
        <v/>
      </c>
    </row>
    <row r="291">
      <c r="A291" s="91">
        <f>Stammdaten!A103</f>
        <v/>
      </c>
      <c r="B291" s="73">
        <f>Stammdaten!B103</f>
        <v/>
      </c>
      <c r="C291" s="73">
        <f>Stammdaten!C103</f>
        <v/>
      </c>
      <c r="D291" s="127" t="inlineStr">
        <is>
          <t>Verrechnung</t>
        </is>
      </c>
      <c r="E291" s="58" t="n">
        <v>4810.61</v>
      </c>
      <c r="F291" s="58" t="n">
        <v>5188.84</v>
      </c>
      <c r="G291" s="58" t="n">
        <v>4797.78</v>
      </c>
      <c r="H291" s="58" t="n">
        <v>4966.6</v>
      </c>
      <c r="I291" s="58" t="n">
        <v>4946.77</v>
      </c>
      <c r="J291" s="58" t="n">
        <v>5098.67</v>
      </c>
      <c r="K291" s="58" t="n">
        <v>4904.44</v>
      </c>
      <c r="L291" s="58" t="n">
        <v>5148.83</v>
      </c>
      <c r="M291" s="58" t="n">
        <v>4969.02</v>
      </c>
      <c r="N291" s="58" t="n">
        <v>4947.89</v>
      </c>
      <c r="O291" s="58" t="n">
        <v>5043.35</v>
      </c>
      <c r="P291" s="58" t="n">
        <v>4757.04</v>
      </c>
      <c r="Q291" s="28">
        <f>SUM(E291:P291)</f>
        <v/>
      </c>
    </row>
    <row r="292">
      <c r="A292" s="91">
        <f>Stammdaten!A103</f>
        <v/>
      </c>
      <c r="B292" s="73">
        <f>Stammdaten!B103</f>
        <v/>
      </c>
      <c r="C292" s="73">
        <f>Stammdaten!C103</f>
        <v/>
      </c>
      <c r="D292" s="128" t="inlineStr">
        <is>
          <t>Selbstkosten</t>
        </is>
      </c>
      <c r="E292" s="58" t="n">
        <v>2316.38</v>
      </c>
      <c r="F292" s="58" t="n">
        <v>2518.71</v>
      </c>
      <c r="G292" s="58" t="n">
        <v>2339.48</v>
      </c>
      <c r="H292" s="58" t="n">
        <v>2365.67</v>
      </c>
      <c r="I292" s="58" t="n">
        <v>2363.15</v>
      </c>
      <c r="J292" s="58" t="n">
        <v>2435.72</v>
      </c>
      <c r="K292" s="58" t="n">
        <v>2361.7</v>
      </c>
      <c r="L292" s="58" t="n">
        <v>2437.87</v>
      </c>
      <c r="M292" s="58" t="n">
        <v>2419.11</v>
      </c>
      <c r="N292" s="58" t="n">
        <v>2274.16</v>
      </c>
      <c r="O292" s="58" t="n">
        <v>2309.55</v>
      </c>
      <c r="P292" s="58" t="n">
        <v>2293.29</v>
      </c>
      <c r="Q292" s="28">
        <f>SUM(E292:P292)</f>
        <v/>
      </c>
    </row>
    <row r="293">
      <c r="A293" s="91">
        <f>Stammdaten!A103</f>
        <v/>
      </c>
      <c r="B293" s="73">
        <f>Stammdaten!B103</f>
        <v/>
      </c>
      <c r="C293" s="73">
        <f>Stammdaten!C103</f>
        <v/>
      </c>
      <c r="D293" s="135" t="inlineStr">
        <is>
          <t>DB1</t>
        </is>
      </c>
      <c r="E293" s="40">
        <f>E291-E292-Rückstellungen!D103-Rückstellungen!Q103-Rückstellungen!AD103</f>
        <v/>
      </c>
      <c r="F293" s="40">
        <f>F291-F292-Rückstellungen!E103-Rückstellungen!R103-Rückstellungen!AE103</f>
        <v/>
      </c>
      <c r="G293" s="40">
        <f>G291-G292-Rückstellungen!F103-Rückstellungen!S103-Rückstellungen!AF103</f>
        <v/>
      </c>
      <c r="H293" s="40">
        <f>H291-H292-Rückstellungen!G103-Rückstellungen!T103-Rückstellungen!AG103</f>
        <v/>
      </c>
      <c r="I293" s="40">
        <f>I291-I292-Rückstellungen!H103-Rückstellungen!U103-Rückstellungen!AH103</f>
        <v/>
      </c>
      <c r="J293" s="40">
        <f>J291-J292-Rückstellungen!I103-Rückstellungen!V103-Rückstellungen!AI103</f>
        <v/>
      </c>
      <c r="K293" s="40">
        <f>K291-K292-Rückstellungen!J103-Rückstellungen!W103-Rückstellungen!AJ103</f>
        <v/>
      </c>
      <c r="L293" s="40">
        <f>L291-L292-Rückstellungen!K103-Rückstellungen!X103-Rückstellungen!AK103</f>
        <v/>
      </c>
      <c r="M293" s="40">
        <f>M291-M292-Rückstellungen!L103-Rückstellungen!Y103-Rückstellungen!AL103</f>
        <v/>
      </c>
      <c r="N293" s="40">
        <f>N291-N292-Rückstellungen!M103-Rückstellungen!Z103-Rückstellungen!AM103</f>
        <v/>
      </c>
      <c r="O293" s="40">
        <f>O291-O292-Rückstellungen!N103-Rückstellungen!AA103-Rückstellungen!AN103</f>
        <v/>
      </c>
      <c r="P293" s="40">
        <f>P291-P292-Rückstellungen!O103-Rückstellungen!AB103-Rückstellungen!AO103</f>
        <v/>
      </c>
      <c r="Q293" s="59">
        <f>SUM(E293:P293)</f>
        <v/>
      </c>
      <c r="R293" s="126">
        <f>IFERROR(Q293/Q291,0)</f>
        <v/>
      </c>
    </row>
    <row r="294">
      <c r="A294" s="91">
        <f>Stammdaten!A104</f>
        <v/>
      </c>
      <c r="B294" s="73">
        <f>Stammdaten!B104</f>
        <v/>
      </c>
      <c r="C294" s="73">
        <f>Stammdaten!C104</f>
        <v/>
      </c>
      <c r="D294" s="127" t="inlineStr">
        <is>
          <t>Verrechnung</t>
        </is>
      </c>
      <c r="E294" s="58" t="n">
        <v>6144.33</v>
      </c>
      <c r="F294" s="58" t="n">
        <v>6045.88</v>
      </c>
      <c r="G294" s="58" t="n">
        <v>5909.9</v>
      </c>
      <c r="H294" s="58" t="n">
        <v>5936.03</v>
      </c>
      <c r="I294" s="58" t="n">
        <v>6020.95</v>
      </c>
      <c r="J294" s="58" t="n">
        <v>6119.47</v>
      </c>
      <c r="K294" s="58" t="n">
        <v>5250.96</v>
      </c>
      <c r="L294" s="58" t="n">
        <v>5948.62</v>
      </c>
      <c r="M294" s="58" t="n">
        <v>5943.44</v>
      </c>
      <c r="N294" s="58" t="n">
        <v>6079.53</v>
      </c>
      <c r="O294" s="58" t="n">
        <v>5855.62</v>
      </c>
      <c r="P294" s="58" t="n">
        <v>5439.98</v>
      </c>
      <c r="Q294" s="28">
        <f>SUM(E294:P294)</f>
        <v/>
      </c>
    </row>
    <row r="295">
      <c r="A295" s="91">
        <f>Stammdaten!A104</f>
        <v/>
      </c>
      <c r="B295" s="73">
        <f>Stammdaten!B104</f>
        <v/>
      </c>
      <c r="C295" s="73">
        <f>Stammdaten!C104</f>
        <v/>
      </c>
      <c r="D295" s="128" t="inlineStr">
        <is>
          <t>Selbstkosten</t>
        </is>
      </c>
      <c r="E295" s="58" t="n">
        <v>3550.74</v>
      </c>
      <c r="F295" s="58" t="n">
        <v>3517.94</v>
      </c>
      <c r="G295" s="58" t="n">
        <v>3464.57</v>
      </c>
      <c r="H295" s="58" t="n">
        <v>3464.87</v>
      </c>
      <c r="I295" s="58" t="n">
        <v>3389.77</v>
      </c>
      <c r="J295" s="58" t="n">
        <v>3628.11</v>
      </c>
      <c r="K295" s="58" t="n">
        <v>3122.12</v>
      </c>
      <c r="L295" s="58" t="n">
        <v>3425.73</v>
      </c>
      <c r="M295" s="58" t="n">
        <v>3350.14</v>
      </c>
      <c r="N295" s="58" t="n">
        <v>3464.79</v>
      </c>
      <c r="O295" s="58" t="n">
        <v>3327.18</v>
      </c>
      <c r="P295" s="58" t="n">
        <v>3112.98</v>
      </c>
      <c r="Q295" s="28">
        <f>SUM(E295:P295)</f>
        <v/>
      </c>
    </row>
    <row r="296">
      <c r="A296" s="91">
        <f>Stammdaten!A104</f>
        <v/>
      </c>
      <c r="B296" s="73">
        <f>Stammdaten!B104</f>
        <v/>
      </c>
      <c r="C296" s="73">
        <f>Stammdaten!C104</f>
        <v/>
      </c>
      <c r="D296" s="135" t="inlineStr">
        <is>
          <t>DB1</t>
        </is>
      </c>
      <c r="E296" s="40">
        <f>E294-E295-Rückstellungen!D104-Rückstellungen!Q104-Rückstellungen!AD104</f>
        <v/>
      </c>
      <c r="F296" s="40">
        <f>F294-F295-Rückstellungen!E104-Rückstellungen!R104-Rückstellungen!AE104</f>
        <v/>
      </c>
      <c r="G296" s="40">
        <f>G294-G295-Rückstellungen!F104-Rückstellungen!S104-Rückstellungen!AF104</f>
        <v/>
      </c>
      <c r="H296" s="40">
        <f>H294-H295-Rückstellungen!G104-Rückstellungen!T104-Rückstellungen!AG104</f>
        <v/>
      </c>
      <c r="I296" s="40">
        <f>I294-I295-Rückstellungen!H104-Rückstellungen!U104-Rückstellungen!AH104</f>
        <v/>
      </c>
      <c r="J296" s="40">
        <f>J294-J295-Rückstellungen!I104-Rückstellungen!V104-Rückstellungen!AI104</f>
        <v/>
      </c>
      <c r="K296" s="40">
        <f>K294-K295-Rückstellungen!J104-Rückstellungen!W104-Rückstellungen!AJ104</f>
        <v/>
      </c>
      <c r="L296" s="40">
        <f>L294-L295-Rückstellungen!K104-Rückstellungen!X104-Rückstellungen!AK104</f>
        <v/>
      </c>
      <c r="M296" s="40">
        <f>M294-M295-Rückstellungen!L104-Rückstellungen!Y104-Rückstellungen!AL104</f>
        <v/>
      </c>
      <c r="N296" s="40">
        <f>N294-N295-Rückstellungen!M104-Rückstellungen!Z104-Rückstellungen!AM104</f>
        <v/>
      </c>
      <c r="O296" s="40">
        <f>O294-O295-Rückstellungen!N104-Rückstellungen!AA104-Rückstellungen!AN104</f>
        <v/>
      </c>
      <c r="P296" s="40">
        <f>P294-P295-Rückstellungen!O104-Rückstellungen!AB104-Rückstellungen!AO104</f>
        <v/>
      </c>
      <c r="Q296" s="59">
        <f>SUM(E296:P296)</f>
        <v/>
      </c>
      <c r="R296" s="126">
        <f>IFERROR(Q296/Q294,0)</f>
        <v/>
      </c>
    </row>
    <row r="297">
      <c r="A297" s="91">
        <f>Stammdaten!A105</f>
        <v/>
      </c>
      <c r="B297" s="73">
        <f>Stammdaten!B105</f>
        <v/>
      </c>
      <c r="C297" s="73">
        <f>Stammdaten!C105</f>
        <v/>
      </c>
      <c r="D297" s="127" t="inlineStr">
        <is>
          <t>Verrechnung</t>
        </is>
      </c>
      <c r="E297" s="58" t="n">
        <v>6286.65</v>
      </c>
      <c r="F297" s="58" t="n">
        <v>6244.94</v>
      </c>
      <c r="G297" s="58" t="n">
        <v>6514.66</v>
      </c>
      <c r="H297" s="58" t="n">
        <v>5976.08</v>
      </c>
      <c r="I297" s="58" t="n">
        <v>5986.18</v>
      </c>
      <c r="J297" s="58" t="n">
        <v>6428.09</v>
      </c>
      <c r="K297" s="58" t="n">
        <v>6105.11</v>
      </c>
      <c r="L297" s="58" t="n">
        <v>6280.67</v>
      </c>
      <c r="M297" s="58" t="n">
        <v>6221.31</v>
      </c>
      <c r="N297" s="58" t="n">
        <v>6427.76</v>
      </c>
      <c r="O297" s="58" t="n">
        <v>6438.39</v>
      </c>
      <c r="P297" s="58" t="n">
        <v>5936.78</v>
      </c>
      <c r="Q297" s="28">
        <f>SUM(E297:P297)</f>
        <v/>
      </c>
    </row>
    <row r="298">
      <c r="A298" s="91">
        <f>Stammdaten!A105</f>
        <v/>
      </c>
      <c r="B298" s="73">
        <f>Stammdaten!B105</f>
        <v/>
      </c>
      <c r="C298" s="73">
        <f>Stammdaten!C105</f>
        <v/>
      </c>
      <c r="D298" s="128" t="inlineStr">
        <is>
          <t>Selbstkosten</t>
        </is>
      </c>
      <c r="E298" s="58" t="n">
        <v>4704.64</v>
      </c>
      <c r="F298" s="58" t="n">
        <v>4749.84</v>
      </c>
      <c r="G298" s="58" t="n">
        <v>5105.03</v>
      </c>
      <c r="H298" s="58" t="n">
        <v>4573.37</v>
      </c>
      <c r="I298" s="58" t="n">
        <v>4627.9</v>
      </c>
      <c r="J298" s="58" t="n">
        <v>5053.25</v>
      </c>
      <c r="K298" s="58" t="n">
        <v>4831.56</v>
      </c>
      <c r="L298" s="58" t="n">
        <v>4891.12</v>
      </c>
      <c r="M298" s="58" t="n">
        <v>4740.15</v>
      </c>
      <c r="N298" s="58" t="n">
        <v>5061.54</v>
      </c>
      <c r="O298" s="58" t="n">
        <v>4902.48</v>
      </c>
      <c r="P298" s="58" t="n">
        <v>4643.08</v>
      </c>
      <c r="Q298" s="28">
        <f>SUM(E298:P298)</f>
        <v/>
      </c>
    </row>
    <row r="299">
      <c r="A299" s="91">
        <f>Stammdaten!A105</f>
        <v/>
      </c>
      <c r="B299" s="73">
        <f>Stammdaten!B105</f>
        <v/>
      </c>
      <c r="C299" s="73">
        <f>Stammdaten!C105</f>
        <v/>
      </c>
      <c r="D299" s="135" t="inlineStr">
        <is>
          <t>DB1</t>
        </is>
      </c>
      <c r="E299" s="40">
        <f>E297-E298-Rückstellungen!D105-Rückstellungen!Q105-Rückstellungen!AD105</f>
        <v/>
      </c>
      <c r="F299" s="40">
        <f>F297-F298-Rückstellungen!E105-Rückstellungen!R105-Rückstellungen!AE105</f>
        <v/>
      </c>
      <c r="G299" s="40">
        <f>G297-G298-Rückstellungen!F105-Rückstellungen!S105-Rückstellungen!AF105</f>
        <v/>
      </c>
      <c r="H299" s="40">
        <f>H297-H298-Rückstellungen!G105-Rückstellungen!T105-Rückstellungen!AG105</f>
        <v/>
      </c>
      <c r="I299" s="40">
        <f>I297-I298-Rückstellungen!H105-Rückstellungen!U105-Rückstellungen!AH105</f>
        <v/>
      </c>
      <c r="J299" s="40">
        <f>J297-J298-Rückstellungen!I105-Rückstellungen!V105-Rückstellungen!AI105</f>
        <v/>
      </c>
      <c r="K299" s="40">
        <f>K297-K298-Rückstellungen!J105-Rückstellungen!W105-Rückstellungen!AJ105</f>
        <v/>
      </c>
      <c r="L299" s="40">
        <f>L297-L298-Rückstellungen!K105-Rückstellungen!X105-Rückstellungen!AK105</f>
        <v/>
      </c>
      <c r="M299" s="40">
        <f>M297-M298-Rückstellungen!L105-Rückstellungen!Y105-Rückstellungen!AL105</f>
        <v/>
      </c>
      <c r="N299" s="40">
        <f>N297-N298-Rückstellungen!M105-Rückstellungen!Z105-Rückstellungen!AM105</f>
        <v/>
      </c>
      <c r="O299" s="40">
        <f>O297-O298-Rückstellungen!N105-Rückstellungen!AA105-Rückstellungen!AN105</f>
        <v/>
      </c>
      <c r="P299" s="40">
        <f>P297-P298-Rückstellungen!O105-Rückstellungen!AB105-Rückstellungen!AO105</f>
        <v/>
      </c>
      <c r="Q299" s="59">
        <f>SUM(E299:P299)</f>
        <v/>
      </c>
      <c r="R299" s="126">
        <f>IFERROR(Q299/Q297,0)</f>
        <v/>
      </c>
    </row>
    <row r="300">
      <c r="A300" s="91">
        <f>Stammdaten!A106</f>
        <v/>
      </c>
      <c r="B300" s="73">
        <f>Stammdaten!B106</f>
        <v/>
      </c>
      <c r="C300" s="73">
        <f>Stammdaten!C106</f>
        <v/>
      </c>
      <c r="D300" s="127" t="inlineStr">
        <is>
          <t>Verrechnung</t>
        </is>
      </c>
      <c r="E300" s="58" t="n">
        <v>4854.47</v>
      </c>
      <c r="F300" s="58" t="n">
        <v>4724.26</v>
      </c>
      <c r="G300" s="58" t="n">
        <v>4914.91</v>
      </c>
      <c r="H300" s="58" t="n">
        <v>4732.3</v>
      </c>
      <c r="I300" s="58" t="n">
        <v>4956.47</v>
      </c>
      <c r="J300" s="58" t="n">
        <v>4924.3</v>
      </c>
      <c r="K300" s="58" t="n">
        <v>4208.74</v>
      </c>
      <c r="L300" s="58" t="n">
        <v>4623.8</v>
      </c>
      <c r="M300" s="58" t="n">
        <v>4664.45</v>
      </c>
      <c r="N300" s="58" t="n">
        <v>4653.73</v>
      </c>
      <c r="O300" s="58" t="n">
        <v>4896.58</v>
      </c>
      <c r="P300" s="58" t="n">
        <v>4500.44</v>
      </c>
      <c r="Q300" s="28">
        <f>SUM(E300:P300)</f>
        <v/>
      </c>
    </row>
    <row r="301">
      <c r="A301" s="91">
        <f>Stammdaten!A106</f>
        <v/>
      </c>
      <c r="B301" s="73">
        <f>Stammdaten!B106</f>
        <v/>
      </c>
      <c r="C301" s="73">
        <f>Stammdaten!C106</f>
        <v/>
      </c>
      <c r="D301" s="128" t="inlineStr">
        <is>
          <t>Selbstkosten</t>
        </is>
      </c>
      <c r="E301" s="58" t="n">
        <v>2178.97</v>
      </c>
      <c r="F301" s="58" t="n">
        <v>2217.14</v>
      </c>
      <c r="G301" s="58" t="n">
        <v>2292.93</v>
      </c>
      <c r="H301" s="58" t="n">
        <v>2140.09</v>
      </c>
      <c r="I301" s="58" t="n">
        <v>2303.44</v>
      </c>
      <c r="J301" s="58" t="n">
        <v>2328.38</v>
      </c>
      <c r="K301" s="58" t="n">
        <v>1915.53</v>
      </c>
      <c r="L301" s="58" t="n">
        <v>2202.71</v>
      </c>
      <c r="M301" s="58" t="n">
        <v>2217.91</v>
      </c>
      <c r="N301" s="58" t="n">
        <v>2139.46</v>
      </c>
      <c r="O301" s="58" t="n">
        <v>2204.89</v>
      </c>
      <c r="P301" s="58" t="n">
        <v>2037.7</v>
      </c>
      <c r="Q301" s="28">
        <f>SUM(E301:P301)</f>
        <v/>
      </c>
    </row>
    <row r="302">
      <c r="A302" s="91">
        <f>Stammdaten!A106</f>
        <v/>
      </c>
      <c r="B302" s="73">
        <f>Stammdaten!B106</f>
        <v/>
      </c>
      <c r="C302" s="73">
        <f>Stammdaten!C106</f>
        <v/>
      </c>
      <c r="D302" s="135" t="inlineStr">
        <is>
          <t>DB1</t>
        </is>
      </c>
      <c r="E302" s="40">
        <f>E300-E301-Rückstellungen!D106-Rückstellungen!Q106-Rückstellungen!AD106</f>
        <v/>
      </c>
      <c r="F302" s="40">
        <f>F300-F301-Rückstellungen!E106-Rückstellungen!R106-Rückstellungen!AE106</f>
        <v/>
      </c>
      <c r="G302" s="40">
        <f>G300-G301-Rückstellungen!F106-Rückstellungen!S106-Rückstellungen!AF106</f>
        <v/>
      </c>
      <c r="H302" s="40">
        <f>H300-H301-Rückstellungen!G106-Rückstellungen!T106-Rückstellungen!AG106</f>
        <v/>
      </c>
      <c r="I302" s="40">
        <f>I300-I301-Rückstellungen!H106-Rückstellungen!U106-Rückstellungen!AH106</f>
        <v/>
      </c>
      <c r="J302" s="40">
        <f>J300-J301-Rückstellungen!I106-Rückstellungen!V106-Rückstellungen!AI106</f>
        <v/>
      </c>
      <c r="K302" s="40">
        <f>K300-K301-Rückstellungen!J106-Rückstellungen!W106-Rückstellungen!AJ106</f>
        <v/>
      </c>
      <c r="L302" s="40">
        <f>L300-L301-Rückstellungen!K106-Rückstellungen!X106-Rückstellungen!AK106</f>
        <v/>
      </c>
      <c r="M302" s="40">
        <f>M300-M301-Rückstellungen!L106-Rückstellungen!Y106-Rückstellungen!AL106</f>
        <v/>
      </c>
      <c r="N302" s="40">
        <f>N300-N301-Rückstellungen!M106-Rückstellungen!Z106-Rückstellungen!AM106</f>
        <v/>
      </c>
      <c r="O302" s="40">
        <f>O300-O301-Rückstellungen!N106-Rückstellungen!AA106-Rückstellungen!AN106</f>
        <v/>
      </c>
      <c r="P302" s="40">
        <f>P300-P301-Rückstellungen!O106-Rückstellungen!AB106-Rückstellungen!AO106</f>
        <v/>
      </c>
      <c r="Q302" s="59">
        <f>SUM(E302:P302)</f>
        <v/>
      </c>
      <c r="R302" s="126">
        <f>IFERROR(Q302/Q300,0)</f>
        <v/>
      </c>
    </row>
    <row r="303">
      <c r="A303" s="91">
        <f>Stammdaten!A107</f>
        <v/>
      </c>
      <c r="B303" s="73">
        <f>Stammdaten!B107</f>
        <v/>
      </c>
      <c r="C303" s="73">
        <f>Stammdaten!C107</f>
        <v/>
      </c>
      <c r="D303" s="127" t="inlineStr">
        <is>
          <t>Verrechnung</t>
        </is>
      </c>
      <c r="E303" s="58" t="n">
        <v>6488.32</v>
      </c>
      <c r="F303" s="58" t="n">
        <v>6197.99</v>
      </c>
      <c r="G303" s="58" t="n">
        <v>6516.8</v>
      </c>
      <c r="H303" s="58" t="n">
        <v>6535.32</v>
      </c>
      <c r="I303" s="58" t="n">
        <v>6649.14</v>
      </c>
      <c r="J303" s="58" t="n">
        <v>6597.29</v>
      </c>
      <c r="K303" s="58" t="n">
        <v>5929.26</v>
      </c>
      <c r="L303" s="58" t="n">
        <v>6547.54</v>
      </c>
      <c r="M303" s="58" t="n">
        <v>6707.4</v>
      </c>
      <c r="N303" s="58" t="n">
        <v>6549.19</v>
      </c>
      <c r="O303" s="58" t="n">
        <v>6339.65</v>
      </c>
      <c r="P303" s="58" t="n">
        <v>5673.31</v>
      </c>
      <c r="Q303" s="28">
        <f>SUM(E303:P303)</f>
        <v/>
      </c>
    </row>
    <row r="304">
      <c r="A304" s="91">
        <f>Stammdaten!A107</f>
        <v/>
      </c>
      <c r="B304" s="73">
        <f>Stammdaten!B107</f>
        <v/>
      </c>
      <c r="C304" s="73">
        <f>Stammdaten!C107</f>
        <v/>
      </c>
      <c r="D304" s="128" t="inlineStr">
        <is>
          <t>Selbstkosten</t>
        </is>
      </c>
      <c r="E304" s="58" t="n">
        <v>3544.85</v>
      </c>
      <c r="F304" s="58" t="n">
        <v>3334.22</v>
      </c>
      <c r="G304" s="58" t="n">
        <v>3432.84</v>
      </c>
      <c r="H304" s="58" t="n">
        <v>3561.02</v>
      </c>
      <c r="I304" s="58" t="n">
        <v>3619.56</v>
      </c>
      <c r="J304" s="58" t="n">
        <v>3412.21</v>
      </c>
      <c r="K304" s="58" t="n">
        <v>3172.45</v>
      </c>
      <c r="L304" s="58" t="n">
        <v>3422.25</v>
      </c>
      <c r="M304" s="58" t="n">
        <v>3529.74</v>
      </c>
      <c r="N304" s="58" t="n">
        <v>3512.6</v>
      </c>
      <c r="O304" s="58" t="n">
        <v>3331.36</v>
      </c>
      <c r="P304" s="58" t="n">
        <v>3066.31</v>
      </c>
      <c r="Q304" s="28">
        <f>SUM(E304:P304)</f>
        <v/>
      </c>
    </row>
    <row r="305">
      <c r="A305" s="91">
        <f>Stammdaten!A107</f>
        <v/>
      </c>
      <c r="B305" s="73">
        <f>Stammdaten!B107</f>
        <v/>
      </c>
      <c r="C305" s="73">
        <f>Stammdaten!C107</f>
        <v/>
      </c>
      <c r="D305" s="135" t="inlineStr">
        <is>
          <t>DB1</t>
        </is>
      </c>
      <c r="E305" s="40">
        <f>E303-E304-Rückstellungen!D107-Rückstellungen!Q107-Rückstellungen!AD107</f>
        <v/>
      </c>
      <c r="F305" s="40">
        <f>F303-F304-Rückstellungen!E107-Rückstellungen!R107-Rückstellungen!AE107</f>
        <v/>
      </c>
      <c r="G305" s="40">
        <f>G303-G304-Rückstellungen!F107-Rückstellungen!S107-Rückstellungen!AF107</f>
        <v/>
      </c>
      <c r="H305" s="40">
        <f>H303-H304-Rückstellungen!G107-Rückstellungen!T107-Rückstellungen!AG107</f>
        <v/>
      </c>
      <c r="I305" s="40">
        <f>I303-I304-Rückstellungen!H107-Rückstellungen!U107-Rückstellungen!AH107</f>
        <v/>
      </c>
      <c r="J305" s="40">
        <f>J303-J304-Rückstellungen!I107-Rückstellungen!V107-Rückstellungen!AI107</f>
        <v/>
      </c>
      <c r="K305" s="40">
        <f>K303-K304-Rückstellungen!J107-Rückstellungen!W107-Rückstellungen!AJ107</f>
        <v/>
      </c>
      <c r="L305" s="40">
        <f>L303-L304-Rückstellungen!K107-Rückstellungen!X107-Rückstellungen!AK107</f>
        <v/>
      </c>
      <c r="M305" s="40">
        <f>M303-M304-Rückstellungen!L107-Rückstellungen!Y107-Rückstellungen!AL107</f>
        <v/>
      </c>
      <c r="N305" s="40">
        <f>N303-N304-Rückstellungen!M107-Rückstellungen!Z107-Rückstellungen!AM107</f>
        <v/>
      </c>
      <c r="O305" s="40">
        <f>O303-O304-Rückstellungen!N107-Rückstellungen!AA107-Rückstellungen!AN107</f>
        <v/>
      </c>
      <c r="P305" s="40">
        <f>P303-P304-Rückstellungen!O107-Rückstellungen!AB107-Rückstellungen!AO107</f>
        <v/>
      </c>
      <c r="Q305" s="59">
        <f>SUM(E305:P305)</f>
        <v/>
      </c>
      <c r="R305" s="126">
        <f>IFERROR(Q305/Q303,0)</f>
        <v/>
      </c>
    </row>
    <row r="306">
      <c r="A306" s="91">
        <f>Stammdaten!A108</f>
        <v/>
      </c>
      <c r="B306" s="73">
        <f>Stammdaten!B108</f>
        <v/>
      </c>
      <c r="C306" s="73">
        <f>Stammdaten!C108</f>
        <v/>
      </c>
      <c r="D306" s="127" t="inlineStr">
        <is>
          <t>Verrechnung</t>
        </is>
      </c>
      <c r="E306" s="58" t="n">
        <v>4066.86</v>
      </c>
      <c r="F306" s="58" t="n">
        <v>4079.78</v>
      </c>
      <c r="G306" s="58" t="n">
        <v>4148.54</v>
      </c>
      <c r="H306" s="58" t="n">
        <v>3959.56</v>
      </c>
      <c r="I306" s="58" t="n">
        <v>4140.38</v>
      </c>
      <c r="J306" s="58" t="n">
        <v>4215.61</v>
      </c>
      <c r="K306" s="58" t="n">
        <v>3961.01</v>
      </c>
      <c r="L306" s="58" t="n">
        <v>4077.85</v>
      </c>
      <c r="M306" s="58" t="n">
        <v>4138.91</v>
      </c>
      <c r="N306" s="58" t="n">
        <v>4085.04</v>
      </c>
      <c r="O306" s="58" t="n">
        <v>4223.43</v>
      </c>
      <c r="P306" s="58" t="n">
        <v>3915.1</v>
      </c>
      <c r="Q306" s="28">
        <f>SUM(E306:P306)</f>
        <v/>
      </c>
    </row>
    <row r="307">
      <c r="A307" s="91">
        <f>Stammdaten!A108</f>
        <v/>
      </c>
      <c r="B307" s="73">
        <f>Stammdaten!B108</f>
        <v/>
      </c>
      <c r="C307" s="73">
        <f>Stammdaten!C108</f>
        <v/>
      </c>
      <c r="D307" s="128" t="inlineStr">
        <is>
          <t>Selbstkosten</t>
        </is>
      </c>
      <c r="E307" s="58" t="n">
        <v>2365.44</v>
      </c>
      <c r="F307" s="58" t="n">
        <v>2287.53</v>
      </c>
      <c r="G307" s="58" t="n">
        <v>2365.43</v>
      </c>
      <c r="H307" s="58" t="n">
        <v>2203.8</v>
      </c>
      <c r="I307" s="58" t="n">
        <v>2382.57</v>
      </c>
      <c r="J307" s="58" t="n">
        <v>2333.47</v>
      </c>
      <c r="K307" s="58" t="n">
        <v>2199.61</v>
      </c>
      <c r="L307" s="58" t="n">
        <v>2338.56</v>
      </c>
      <c r="M307" s="58" t="n">
        <v>2393.87</v>
      </c>
      <c r="N307" s="58" t="n">
        <v>2333.95</v>
      </c>
      <c r="O307" s="58" t="n">
        <v>2434.29</v>
      </c>
      <c r="P307" s="58" t="n">
        <v>2229.28</v>
      </c>
      <c r="Q307" s="28">
        <f>SUM(E307:P307)</f>
        <v/>
      </c>
    </row>
    <row r="308">
      <c r="A308" s="91">
        <f>Stammdaten!A108</f>
        <v/>
      </c>
      <c r="B308" s="73">
        <f>Stammdaten!B108</f>
        <v/>
      </c>
      <c r="C308" s="73">
        <f>Stammdaten!C108</f>
        <v/>
      </c>
      <c r="D308" s="135" t="inlineStr">
        <is>
          <t>DB1</t>
        </is>
      </c>
      <c r="E308" s="40">
        <f>E306-E307-Rückstellungen!D108-Rückstellungen!Q108-Rückstellungen!AD108</f>
        <v/>
      </c>
      <c r="F308" s="40">
        <f>F306-F307-Rückstellungen!E108-Rückstellungen!R108-Rückstellungen!AE108</f>
        <v/>
      </c>
      <c r="G308" s="40">
        <f>G306-G307-Rückstellungen!F108-Rückstellungen!S108-Rückstellungen!AF108</f>
        <v/>
      </c>
      <c r="H308" s="40">
        <f>H306-H307-Rückstellungen!G108-Rückstellungen!T108-Rückstellungen!AG108</f>
        <v/>
      </c>
      <c r="I308" s="40">
        <f>I306-I307-Rückstellungen!H108-Rückstellungen!U108-Rückstellungen!AH108</f>
        <v/>
      </c>
      <c r="J308" s="40">
        <f>J306-J307-Rückstellungen!I108-Rückstellungen!V108-Rückstellungen!AI108</f>
        <v/>
      </c>
      <c r="K308" s="40">
        <f>K306-K307-Rückstellungen!J108-Rückstellungen!W108-Rückstellungen!AJ108</f>
        <v/>
      </c>
      <c r="L308" s="40">
        <f>L306-L307-Rückstellungen!K108-Rückstellungen!X108-Rückstellungen!AK108</f>
        <v/>
      </c>
      <c r="M308" s="40">
        <f>M306-M307-Rückstellungen!L108-Rückstellungen!Y108-Rückstellungen!AL108</f>
        <v/>
      </c>
      <c r="N308" s="40">
        <f>N306-N307-Rückstellungen!M108-Rückstellungen!Z108-Rückstellungen!AM108</f>
        <v/>
      </c>
      <c r="O308" s="40">
        <f>O306-O307-Rückstellungen!N108-Rückstellungen!AA108-Rückstellungen!AN108</f>
        <v/>
      </c>
      <c r="P308" s="40">
        <f>P306-P307-Rückstellungen!O108-Rückstellungen!AB108-Rückstellungen!AO108</f>
        <v/>
      </c>
      <c r="Q308" s="59">
        <f>SUM(E308:P308)</f>
        <v/>
      </c>
      <c r="R308" s="126">
        <f>IFERROR(Q308/Q306,0)</f>
        <v/>
      </c>
    </row>
  </sheetData>
  <mergeCells count="2">
    <mergeCell ref="A2:R2"/>
    <mergeCell ref="A1:R1"/>
  </mergeCells>
  <conditionalFormatting sqref="E9:P308">
    <cfRule type="expression" priority="1" dxfId="3">
      <formula>AND($D9="DB1",E9&lt;0)</formula>
    </cfRule>
  </conditionalFormatting>
  <conditionalFormatting sqref="Q9:Q308">
    <cfRule type="expression" priority="2" dxfId="1">
      <formula>AND($D9="DB1",Q9&lt;0)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A3E"/>
    <outlinePr summaryBelow="1" summaryRight="1"/>
    <pageSetUpPr/>
  </sheetPr>
  <dimension ref="A1:AQ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outlineLevel="1" width="10" customWidth="1" min="4" max="4"/>
    <col outlineLevel="1" width="10" customWidth="1" min="5" max="5"/>
    <col outlineLevel="1" width="10" customWidth="1" min="6" max="6"/>
    <col outlineLevel="1" width="10" customWidth="1" min="7" max="7"/>
    <col outlineLevel="1" width="10" customWidth="1" min="8" max="8"/>
    <col outlineLevel="1" width="10" customWidth="1" min="9" max="9"/>
    <col outlineLevel="1" width="10" customWidth="1" min="10" max="10"/>
    <col outlineLevel="1" width="10" customWidth="1" min="11" max="11"/>
    <col outlineLevel="1" width="10" customWidth="1" min="12" max="12"/>
    <col outlineLevel="1" width="10" customWidth="1" min="13" max="13"/>
    <col outlineLevel="1" width="10" customWidth="1" min="14" max="14"/>
    <col outlineLevel="1" width="10" customWidth="1" min="15" max="15"/>
    <col width="12" customWidth="1" min="16" max="16"/>
    <col outlineLevel="1" width="10" customWidth="1" min="17" max="17"/>
    <col outlineLevel="1" width="10" customWidth="1" min="18" max="18"/>
    <col outlineLevel="1" width="10" customWidth="1" min="19" max="19"/>
    <col outlineLevel="1" width="10" customWidth="1" min="20" max="20"/>
    <col outlineLevel="1" width="10" customWidth="1" min="21" max="21"/>
    <col outlineLevel="1" width="10" customWidth="1" min="22" max="22"/>
    <col outlineLevel="1" width="10" customWidth="1" min="23" max="23"/>
    <col outlineLevel="1" width="10" customWidth="1" min="24" max="24"/>
    <col outlineLevel="1" width="10" customWidth="1" min="25" max="25"/>
    <col outlineLevel="1" width="10" customWidth="1" min="26" max="26"/>
    <col outlineLevel="1" width="10" customWidth="1" min="27" max="27"/>
    <col outlineLevel="1" width="10" customWidth="1" min="28" max="28"/>
    <col width="12" customWidth="1" min="29" max="29"/>
    <col outlineLevel="1" width="10" customWidth="1" min="30" max="30"/>
    <col outlineLevel="1" width="10" customWidth="1" min="31" max="31"/>
    <col outlineLevel="1" width="10" customWidth="1" min="32" max="32"/>
    <col outlineLevel="1" width="10" customWidth="1" min="33" max="33"/>
    <col outlineLevel="1" width="10" customWidth="1" min="34" max="34"/>
    <col outlineLevel="1" width="10" customWidth="1" min="35" max="35"/>
    <col outlineLevel="1" width="10" customWidth="1" min="36" max="36"/>
    <col outlineLevel="1" width="10" customWidth="1" min="37" max="37"/>
    <col outlineLevel="1" width="10" customWidth="1" min="38" max="38"/>
    <col outlineLevel="1" width="10" customWidth="1" min="39" max="39"/>
    <col outlineLevel="1" width="10" customWidth="1" min="40" max="40"/>
    <col outlineLevel="1" width="10" customWidth="1" min="41" max="41"/>
    <col width="12" customWidth="1" min="42" max="42"/>
    <col width="16" customWidth="1" min="43" max="43"/>
  </cols>
  <sheetData>
    <row r="1" ht="26" customHeight="1">
      <c r="A1" s="1" t="inlineStr">
        <is>
          <t>RÜCKSTELLUNGEN &amp; ABGABEN — DG-Abgaben, Urlaubs- &amp; Weihnachtsgeld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</row>
    <row r="2" ht="15" customHeight="1">
      <c r="A2" s="3" t="inlineStr">
        <is>
          <t>Automatisch berechnet aus dem Grundlohn (Blatt 'Selbstkosten') × Satz (siehe Stammdaten). Getrennt je Mitarbeiter und Kunde ausgewiesen.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</row>
    <row r="3" ht="6" customHeight="1"/>
    <row r="4">
      <c r="A4" s="83" t="inlineStr">
        <is>
          <t>Rückstellungssatz Urlaubsgeld:</t>
        </is>
      </c>
      <c r="D4" s="106">
        <f>Stammdaten!C5</f>
        <v/>
      </c>
    </row>
    <row r="5">
      <c r="A5" s="83" t="inlineStr">
        <is>
          <t>Rückstellungssatz Weihnachtsgeld:</t>
        </is>
      </c>
      <c r="D5" s="106">
        <f>Stammdaten!C6</f>
        <v/>
      </c>
    </row>
    <row r="6">
      <c r="A6" s="83" t="inlineStr">
        <is>
          <t>DG-Abgaben-Satz:</t>
        </is>
      </c>
      <c r="D6" s="106">
        <f>Stammdaten!C7</f>
        <v/>
      </c>
      <c r="F6" s="102" t="inlineStr">
        <is>
          <t>Hinweis: Urlaubs-/Weihnachtsgeld-Rückstellung wird zusätzlich um den DG-Abgaben-Satz hochgerechnet, da SV-Beiträge auch auf das 13./14. Gehalt anfallen.</t>
        </is>
      </c>
    </row>
    <row r="7" ht="18" customHeight="1">
      <c r="A7" s="2" t="n"/>
      <c r="B7" s="2" t="n"/>
      <c r="C7" s="2" t="n"/>
      <c r="D7" s="139" t="inlineStr">
        <is>
          <t>DG-ABGABEN (AUF GRUNDLOHN)</t>
        </is>
      </c>
      <c r="Q7" s="140" t="inlineStr">
        <is>
          <t>RÜCKSTELLUNG URLAUBSGELD</t>
        </is>
      </c>
      <c r="AD7" s="141" t="inlineStr">
        <is>
          <t>RÜCKSTELLUNG WEIHNACHTSGELD</t>
        </is>
      </c>
      <c r="AQ7" s="2" t="inlineStr"/>
    </row>
    <row r="8" ht="30" customHeight="1">
      <c r="A8" s="107" t="inlineStr">
        <is>
          <t>ID</t>
        </is>
      </c>
      <c r="B8" s="107" t="inlineStr">
        <is>
          <t>Kunde</t>
        </is>
      </c>
      <c r="C8" s="107" t="inlineStr">
        <is>
          <t>Mitarbeiter</t>
        </is>
      </c>
      <c r="D8" s="107" t="inlineStr">
        <is>
          <t>Jan</t>
        </is>
      </c>
      <c r="E8" s="107" t="inlineStr">
        <is>
          <t>Feb</t>
        </is>
      </c>
      <c r="F8" s="107" t="inlineStr">
        <is>
          <t>Mär</t>
        </is>
      </c>
      <c r="G8" s="107" t="inlineStr">
        <is>
          <t>Apr</t>
        </is>
      </c>
      <c r="H8" s="107" t="inlineStr">
        <is>
          <t>Mai</t>
        </is>
      </c>
      <c r="I8" s="107" t="inlineStr">
        <is>
          <t>Jun</t>
        </is>
      </c>
      <c r="J8" s="107" t="inlineStr">
        <is>
          <t>Jul</t>
        </is>
      </c>
      <c r="K8" s="107" t="inlineStr">
        <is>
          <t>Aug</t>
        </is>
      </c>
      <c r="L8" s="107" t="inlineStr">
        <is>
          <t>Sep</t>
        </is>
      </c>
      <c r="M8" s="107" t="inlineStr">
        <is>
          <t>Okt</t>
        </is>
      </c>
      <c r="N8" s="107" t="inlineStr">
        <is>
          <t>Nov</t>
        </is>
      </c>
      <c r="O8" s="107" t="inlineStr">
        <is>
          <t>Dez</t>
        </is>
      </c>
      <c r="P8" s="107" t="inlineStr">
        <is>
          <t>Summe</t>
        </is>
      </c>
      <c r="Q8" s="107" t="inlineStr">
        <is>
          <t>Jan</t>
        </is>
      </c>
      <c r="R8" s="107" t="inlineStr">
        <is>
          <t>Feb</t>
        </is>
      </c>
      <c r="S8" s="107" t="inlineStr">
        <is>
          <t>Mär</t>
        </is>
      </c>
      <c r="T8" s="107" t="inlineStr">
        <is>
          <t>Apr</t>
        </is>
      </c>
      <c r="U8" s="107" t="inlineStr">
        <is>
          <t>Mai</t>
        </is>
      </c>
      <c r="V8" s="107" t="inlineStr">
        <is>
          <t>Jun</t>
        </is>
      </c>
      <c r="W8" s="107" t="inlineStr">
        <is>
          <t>Jul</t>
        </is>
      </c>
      <c r="X8" s="107" t="inlineStr">
        <is>
          <t>Aug</t>
        </is>
      </c>
      <c r="Y8" s="107" t="inlineStr">
        <is>
          <t>Sep</t>
        </is>
      </c>
      <c r="Z8" s="107" t="inlineStr">
        <is>
          <t>Okt</t>
        </is>
      </c>
      <c r="AA8" s="107" t="inlineStr">
        <is>
          <t>Nov</t>
        </is>
      </c>
      <c r="AB8" s="107" t="inlineStr">
        <is>
          <t>Dez</t>
        </is>
      </c>
      <c r="AC8" s="107" t="inlineStr">
        <is>
          <t>Summe</t>
        </is>
      </c>
      <c r="AD8" s="107" t="inlineStr">
        <is>
          <t>Jan</t>
        </is>
      </c>
      <c r="AE8" s="107" t="inlineStr">
        <is>
          <t>Feb</t>
        </is>
      </c>
      <c r="AF8" s="107" t="inlineStr">
        <is>
          <t>Mär</t>
        </is>
      </c>
      <c r="AG8" s="107" t="inlineStr">
        <is>
          <t>Apr</t>
        </is>
      </c>
      <c r="AH8" s="107" t="inlineStr">
        <is>
          <t>Mai</t>
        </is>
      </c>
      <c r="AI8" s="107" t="inlineStr">
        <is>
          <t>Jun</t>
        </is>
      </c>
      <c r="AJ8" s="107" t="inlineStr">
        <is>
          <t>Jul</t>
        </is>
      </c>
      <c r="AK8" s="107" t="inlineStr">
        <is>
          <t>Aug</t>
        </is>
      </c>
      <c r="AL8" s="107" t="inlineStr">
        <is>
          <t>Sep</t>
        </is>
      </c>
      <c r="AM8" s="107" t="inlineStr">
        <is>
          <t>Okt</t>
        </is>
      </c>
      <c r="AN8" s="107" t="inlineStr">
        <is>
          <t>Nov</t>
        </is>
      </c>
      <c r="AO8" s="107" t="inlineStr">
        <is>
          <t>Dez</t>
        </is>
      </c>
      <c r="AP8" s="107" t="inlineStr">
        <is>
          <t>Summe</t>
        </is>
      </c>
      <c r="AQ8" s="107" t="inlineStr">
        <is>
          <t>Abgaben &amp;
Rückstellungen Gesamt</t>
        </is>
      </c>
    </row>
    <row r="9">
      <c r="A9" s="89">
        <f>Stammdaten!A9</f>
        <v/>
      </c>
      <c r="B9" s="67">
        <f>Stammdaten!B9</f>
        <v/>
      </c>
      <c r="C9" s="67">
        <f>Stammdaten!C9</f>
        <v/>
      </c>
      <c r="D9" s="40">
        <f>Monatsabrechnung!E10*$D$6</f>
        <v/>
      </c>
      <c r="E9" s="40">
        <f>Monatsabrechnung!F10*$D$6</f>
        <v/>
      </c>
      <c r="F9" s="40">
        <f>Monatsabrechnung!G10*$D$6</f>
        <v/>
      </c>
      <c r="G9" s="40">
        <f>Monatsabrechnung!H10*$D$6</f>
        <v/>
      </c>
      <c r="H9" s="40">
        <f>Monatsabrechnung!I10*$D$6</f>
        <v/>
      </c>
      <c r="I9" s="40">
        <f>Monatsabrechnung!J10*$D$6</f>
        <v/>
      </c>
      <c r="J9" s="40">
        <f>Monatsabrechnung!K10*$D$6</f>
        <v/>
      </c>
      <c r="K9" s="40">
        <f>Monatsabrechnung!L10*$D$6</f>
        <v/>
      </c>
      <c r="L9" s="40">
        <f>Monatsabrechnung!M10*$D$6</f>
        <v/>
      </c>
      <c r="M9" s="40">
        <f>Monatsabrechnung!N10*$D$6</f>
        <v/>
      </c>
      <c r="N9" s="40">
        <f>Monatsabrechnung!O10*$D$6</f>
        <v/>
      </c>
      <c r="O9" s="40">
        <f>Monatsabrechnung!P10*$D$6</f>
        <v/>
      </c>
      <c r="P9" s="28">
        <f>SUM(D9:O9)</f>
        <v/>
      </c>
      <c r="Q9" s="40">
        <f>Monatsabrechnung!E10*$D$4*(1+$D$6)</f>
        <v/>
      </c>
      <c r="R9" s="40">
        <f>Monatsabrechnung!F10*$D$4*(1+$D$6)</f>
        <v/>
      </c>
      <c r="S9" s="40">
        <f>Monatsabrechnung!G10*$D$4*(1+$D$6)</f>
        <v/>
      </c>
      <c r="T9" s="40">
        <f>Monatsabrechnung!H10*$D$4*(1+$D$6)</f>
        <v/>
      </c>
      <c r="U9" s="40">
        <f>Monatsabrechnung!I10*$D$4*(1+$D$6)</f>
        <v/>
      </c>
      <c r="V9" s="40">
        <f>Monatsabrechnung!J10*$D$4*(1+$D$6)</f>
        <v/>
      </c>
      <c r="W9" s="40">
        <f>Monatsabrechnung!K10*$D$4*(1+$D$6)</f>
        <v/>
      </c>
      <c r="X9" s="40">
        <f>Monatsabrechnung!L10*$D$4*(1+$D$6)</f>
        <v/>
      </c>
      <c r="Y9" s="40">
        <f>Monatsabrechnung!M10*$D$4*(1+$D$6)</f>
        <v/>
      </c>
      <c r="Z9" s="40">
        <f>Monatsabrechnung!N10*$D$4*(1+$D$6)</f>
        <v/>
      </c>
      <c r="AA9" s="40">
        <f>Monatsabrechnung!O10*$D$4*(1+$D$6)</f>
        <v/>
      </c>
      <c r="AB9" s="40">
        <f>Monatsabrechnung!P10*$D$4*(1+$D$6)</f>
        <v/>
      </c>
      <c r="AC9" s="28">
        <f>SUM(Q9:AB9)</f>
        <v/>
      </c>
      <c r="AD9" s="40">
        <f>Monatsabrechnung!E10*$D$5*(1+$D$6)</f>
        <v/>
      </c>
      <c r="AE9" s="40">
        <f>Monatsabrechnung!F10*$D$5*(1+$D$6)</f>
        <v/>
      </c>
      <c r="AF9" s="40">
        <f>Monatsabrechnung!G10*$D$5*(1+$D$6)</f>
        <v/>
      </c>
      <c r="AG9" s="40">
        <f>Monatsabrechnung!H10*$D$5*(1+$D$6)</f>
        <v/>
      </c>
      <c r="AH9" s="40">
        <f>Monatsabrechnung!I10*$D$5*(1+$D$6)</f>
        <v/>
      </c>
      <c r="AI9" s="40">
        <f>Monatsabrechnung!J10*$D$5*(1+$D$6)</f>
        <v/>
      </c>
      <c r="AJ9" s="40">
        <f>Monatsabrechnung!K10*$D$5*(1+$D$6)</f>
        <v/>
      </c>
      <c r="AK9" s="40">
        <f>Monatsabrechnung!L10*$D$5*(1+$D$6)</f>
        <v/>
      </c>
      <c r="AL9" s="40">
        <f>Monatsabrechnung!M10*$D$5*(1+$D$6)</f>
        <v/>
      </c>
      <c r="AM9" s="40">
        <f>Monatsabrechnung!N10*$D$5*(1+$D$6)</f>
        <v/>
      </c>
      <c r="AN9" s="40">
        <f>Monatsabrechnung!O10*$D$5*(1+$D$6)</f>
        <v/>
      </c>
      <c r="AO9" s="40">
        <f>Monatsabrechnung!P10*$D$5*(1+$D$6)</f>
        <v/>
      </c>
      <c r="AP9" s="28">
        <f>SUM(AD9:AO9)</f>
        <v/>
      </c>
      <c r="AQ9" s="59">
        <f>P9+AC9+AP9</f>
        <v/>
      </c>
    </row>
    <row r="10">
      <c r="A10" s="89">
        <f>Stammdaten!A10</f>
        <v/>
      </c>
      <c r="B10" s="67">
        <f>Stammdaten!B10</f>
        <v/>
      </c>
      <c r="C10" s="67">
        <f>Stammdaten!C10</f>
        <v/>
      </c>
      <c r="D10" s="40">
        <f>Monatsabrechnung!E13*$D$6</f>
        <v/>
      </c>
      <c r="E10" s="40">
        <f>Monatsabrechnung!F13*$D$6</f>
        <v/>
      </c>
      <c r="F10" s="40">
        <f>Monatsabrechnung!G13*$D$6</f>
        <v/>
      </c>
      <c r="G10" s="40">
        <f>Monatsabrechnung!H13*$D$6</f>
        <v/>
      </c>
      <c r="H10" s="40">
        <f>Monatsabrechnung!I13*$D$6</f>
        <v/>
      </c>
      <c r="I10" s="40">
        <f>Monatsabrechnung!J13*$D$6</f>
        <v/>
      </c>
      <c r="J10" s="40">
        <f>Monatsabrechnung!K13*$D$6</f>
        <v/>
      </c>
      <c r="K10" s="40">
        <f>Monatsabrechnung!L13*$D$6</f>
        <v/>
      </c>
      <c r="L10" s="40">
        <f>Monatsabrechnung!M13*$D$6</f>
        <v/>
      </c>
      <c r="M10" s="40">
        <f>Monatsabrechnung!N13*$D$6</f>
        <v/>
      </c>
      <c r="N10" s="40">
        <f>Monatsabrechnung!O13*$D$6</f>
        <v/>
      </c>
      <c r="O10" s="40">
        <f>Monatsabrechnung!P13*$D$6</f>
        <v/>
      </c>
      <c r="P10" s="28">
        <f>SUM(D10:O10)</f>
        <v/>
      </c>
      <c r="Q10" s="40">
        <f>Monatsabrechnung!E13*$D$4*(1+$D$6)</f>
        <v/>
      </c>
      <c r="R10" s="40">
        <f>Monatsabrechnung!F13*$D$4*(1+$D$6)</f>
        <v/>
      </c>
      <c r="S10" s="40">
        <f>Monatsabrechnung!G13*$D$4*(1+$D$6)</f>
        <v/>
      </c>
      <c r="T10" s="40">
        <f>Monatsabrechnung!H13*$D$4*(1+$D$6)</f>
        <v/>
      </c>
      <c r="U10" s="40">
        <f>Monatsabrechnung!I13*$D$4*(1+$D$6)</f>
        <v/>
      </c>
      <c r="V10" s="40">
        <f>Monatsabrechnung!J13*$D$4*(1+$D$6)</f>
        <v/>
      </c>
      <c r="W10" s="40">
        <f>Monatsabrechnung!K13*$D$4*(1+$D$6)</f>
        <v/>
      </c>
      <c r="X10" s="40">
        <f>Monatsabrechnung!L13*$D$4*(1+$D$6)</f>
        <v/>
      </c>
      <c r="Y10" s="40">
        <f>Monatsabrechnung!M13*$D$4*(1+$D$6)</f>
        <v/>
      </c>
      <c r="Z10" s="40">
        <f>Monatsabrechnung!N13*$D$4*(1+$D$6)</f>
        <v/>
      </c>
      <c r="AA10" s="40">
        <f>Monatsabrechnung!O13*$D$4*(1+$D$6)</f>
        <v/>
      </c>
      <c r="AB10" s="40">
        <f>Monatsabrechnung!P13*$D$4*(1+$D$6)</f>
        <v/>
      </c>
      <c r="AC10" s="28">
        <f>SUM(Q10:AB10)</f>
        <v/>
      </c>
      <c r="AD10" s="40">
        <f>Monatsabrechnung!E13*$D$5*(1+$D$6)</f>
        <v/>
      </c>
      <c r="AE10" s="40">
        <f>Monatsabrechnung!F13*$D$5*(1+$D$6)</f>
        <v/>
      </c>
      <c r="AF10" s="40">
        <f>Monatsabrechnung!G13*$D$5*(1+$D$6)</f>
        <v/>
      </c>
      <c r="AG10" s="40">
        <f>Monatsabrechnung!H13*$D$5*(1+$D$6)</f>
        <v/>
      </c>
      <c r="AH10" s="40">
        <f>Monatsabrechnung!I13*$D$5*(1+$D$6)</f>
        <v/>
      </c>
      <c r="AI10" s="40">
        <f>Monatsabrechnung!J13*$D$5*(1+$D$6)</f>
        <v/>
      </c>
      <c r="AJ10" s="40">
        <f>Monatsabrechnung!K13*$D$5*(1+$D$6)</f>
        <v/>
      </c>
      <c r="AK10" s="40">
        <f>Monatsabrechnung!L13*$D$5*(1+$D$6)</f>
        <v/>
      </c>
      <c r="AL10" s="40">
        <f>Monatsabrechnung!M13*$D$5*(1+$D$6)</f>
        <v/>
      </c>
      <c r="AM10" s="40">
        <f>Monatsabrechnung!N13*$D$5*(1+$D$6)</f>
        <v/>
      </c>
      <c r="AN10" s="40">
        <f>Monatsabrechnung!O13*$D$5*(1+$D$6)</f>
        <v/>
      </c>
      <c r="AO10" s="40">
        <f>Monatsabrechnung!P13*$D$5*(1+$D$6)</f>
        <v/>
      </c>
      <c r="AP10" s="28">
        <f>SUM(AD10:AO10)</f>
        <v/>
      </c>
      <c r="AQ10" s="59">
        <f>P10+AC10+AP10</f>
        <v/>
      </c>
    </row>
    <row r="11">
      <c r="A11" s="89">
        <f>Stammdaten!A11</f>
        <v/>
      </c>
      <c r="B11" s="67">
        <f>Stammdaten!B11</f>
        <v/>
      </c>
      <c r="C11" s="67">
        <f>Stammdaten!C11</f>
        <v/>
      </c>
      <c r="D11" s="40">
        <f>Monatsabrechnung!E16*$D$6</f>
        <v/>
      </c>
      <c r="E11" s="40">
        <f>Monatsabrechnung!F16*$D$6</f>
        <v/>
      </c>
      <c r="F11" s="40">
        <f>Monatsabrechnung!G16*$D$6</f>
        <v/>
      </c>
      <c r="G11" s="40">
        <f>Monatsabrechnung!H16*$D$6</f>
        <v/>
      </c>
      <c r="H11" s="40">
        <f>Monatsabrechnung!I16*$D$6</f>
        <v/>
      </c>
      <c r="I11" s="40">
        <f>Monatsabrechnung!J16*$D$6</f>
        <v/>
      </c>
      <c r="J11" s="40">
        <f>Monatsabrechnung!K16*$D$6</f>
        <v/>
      </c>
      <c r="K11" s="40">
        <f>Monatsabrechnung!L16*$D$6</f>
        <v/>
      </c>
      <c r="L11" s="40">
        <f>Monatsabrechnung!M16*$D$6</f>
        <v/>
      </c>
      <c r="M11" s="40">
        <f>Monatsabrechnung!N16*$D$6</f>
        <v/>
      </c>
      <c r="N11" s="40">
        <f>Monatsabrechnung!O16*$D$6</f>
        <v/>
      </c>
      <c r="O11" s="40">
        <f>Monatsabrechnung!P16*$D$6</f>
        <v/>
      </c>
      <c r="P11" s="28">
        <f>SUM(D11:O11)</f>
        <v/>
      </c>
      <c r="Q11" s="40">
        <f>Monatsabrechnung!E16*$D$4*(1+$D$6)</f>
        <v/>
      </c>
      <c r="R11" s="40">
        <f>Monatsabrechnung!F16*$D$4*(1+$D$6)</f>
        <v/>
      </c>
      <c r="S11" s="40">
        <f>Monatsabrechnung!G16*$D$4*(1+$D$6)</f>
        <v/>
      </c>
      <c r="T11" s="40">
        <f>Monatsabrechnung!H16*$D$4*(1+$D$6)</f>
        <v/>
      </c>
      <c r="U11" s="40">
        <f>Monatsabrechnung!I16*$D$4*(1+$D$6)</f>
        <v/>
      </c>
      <c r="V11" s="40">
        <f>Monatsabrechnung!J16*$D$4*(1+$D$6)</f>
        <v/>
      </c>
      <c r="W11" s="40">
        <f>Monatsabrechnung!K16*$D$4*(1+$D$6)</f>
        <v/>
      </c>
      <c r="X11" s="40">
        <f>Monatsabrechnung!L16*$D$4*(1+$D$6)</f>
        <v/>
      </c>
      <c r="Y11" s="40">
        <f>Monatsabrechnung!M16*$D$4*(1+$D$6)</f>
        <v/>
      </c>
      <c r="Z11" s="40">
        <f>Monatsabrechnung!N16*$D$4*(1+$D$6)</f>
        <v/>
      </c>
      <c r="AA11" s="40">
        <f>Monatsabrechnung!O16*$D$4*(1+$D$6)</f>
        <v/>
      </c>
      <c r="AB11" s="40">
        <f>Monatsabrechnung!P16*$D$4*(1+$D$6)</f>
        <v/>
      </c>
      <c r="AC11" s="28">
        <f>SUM(Q11:AB11)</f>
        <v/>
      </c>
      <c r="AD11" s="40">
        <f>Monatsabrechnung!E16*$D$5*(1+$D$6)</f>
        <v/>
      </c>
      <c r="AE11" s="40">
        <f>Monatsabrechnung!F16*$D$5*(1+$D$6)</f>
        <v/>
      </c>
      <c r="AF11" s="40">
        <f>Monatsabrechnung!G16*$D$5*(1+$D$6)</f>
        <v/>
      </c>
      <c r="AG11" s="40">
        <f>Monatsabrechnung!H16*$D$5*(1+$D$6)</f>
        <v/>
      </c>
      <c r="AH11" s="40">
        <f>Monatsabrechnung!I16*$D$5*(1+$D$6)</f>
        <v/>
      </c>
      <c r="AI11" s="40">
        <f>Monatsabrechnung!J16*$D$5*(1+$D$6)</f>
        <v/>
      </c>
      <c r="AJ11" s="40">
        <f>Monatsabrechnung!K16*$D$5*(1+$D$6)</f>
        <v/>
      </c>
      <c r="AK11" s="40">
        <f>Monatsabrechnung!L16*$D$5*(1+$D$6)</f>
        <v/>
      </c>
      <c r="AL11" s="40">
        <f>Monatsabrechnung!M16*$D$5*(1+$D$6)</f>
        <v/>
      </c>
      <c r="AM11" s="40">
        <f>Monatsabrechnung!N16*$D$5*(1+$D$6)</f>
        <v/>
      </c>
      <c r="AN11" s="40">
        <f>Monatsabrechnung!O16*$D$5*(1+$D$6)</f>
        <v/>
      </c>
      <c r="AO11" s="40">
        <f>Monatsabrechnung!P16*$D$5*(1+$D$6)</f>
        <v/>
      </c>
      <c r="AP11" s="28">
        <f>SUM(AD11:AO11)</f>
        <v/>
      </c>
      <c r="AQ11" s="59">
        <f>P11+AC11+AP11</f>
        <v/>
      </c>
    </row>
    <row r="12">
      <c r="A12" s="89">
        <f>Stammdaten!A12</f>
        <v/>
      </c>
      <c r="B12" s="67">
        <f>Stammdaten!B12</f>
        <v/>
      </c>
      <c r="C12" s="67">
        <f>Stammdaten!C12</f>
        <v/>
      </c>
      <c r="D12" s="40">
        <f>Monatsabrechnung!E19*$D$6</f>
        <v/>
      </c>
      <c r="E12" s="40">
        <f>Monatsabrechnung!F19*$D$6</f>
        <v/>
      </c>
      <c r="F12" s="40">
        <f>Monatsabrechnung!G19*$D$6</f>
        <v/>
      </c>
      <c r="G12" s="40">
        <f>Monatsabrechnung!H19*$D$6</f>
        <v/>
      </c>
      <c r="H12" s="40">
        <f>Monatsabrechnung!I19*$D$6</f>
        <v/>
      </c>
      <c r="I12" s="40">
        <f>Monatsabrechnung!J19*$D$6</f>
        <v/>
      </c>
      <c r="J12" s="40">
        <f>Monatsabrechnung!K19*$D$6</f>
        <v/>
      </c>
      <c r="K12" s="40">
        <f>Monatsabrechnung!L19*$D$6</f>
        <v/>
      </c>
      <c r="L12" s="40">
        <f>Monatsabrechnung!M19*$D$6</f>
        <v/>
      </c>
      <c r="M12" s="40">
        <f>Monatsabrechnung!N19*$D$6</f>
        <v/>
      </c>
      <c r="N12" s="40">
        <f>Monatsabrechnung!O19*$D$6</f>
        <v/>
      </c>
      <c r="O12" s="40">
        <f>Monatsabrechnung!P19*$D$6</f>
        <v/>
      </c>
      <c r="P12" s="28">
        <f>SUM(D12:O12)</f>
        <v/>
      </c>
      <c r="Q12" s="40">
        <f>Monatsabrechnung!E19*$D$4*(1+$D$6)</f>
        <v/>
      </c>
      <c r="R12" s="40">
        <f>Monatsabrechnung!F19*$D$4*(1+$D$6)</f>
        <v/>
      </c>
      <c r="S12" s="40">
        <f>Monatsabrechnung!G19*$D$4*(1+$D$6)</f>
        <v/>
      </c>
      <c r="T12" s="40">
        <f>Monatsabrechnung!H19*$D$4*(1+$D$6)</f>
        <v/>
      </c>
      <c r="U12" s="40">
        <f>Monatsabrechnung!I19*$D$4*(1+$D$6)</f>
        <v/>
      </c>
      <c r="V12" s="40">
        <f>Monatsabrechnung!J19*$D$4*(1+$D$6)</f>
        <v/>
      </c>
      <c r="W12" s="40">
        <f>Monatsabrechnung!K19*$D$4*(1+$D$6)</f>
        <v/>
      </c>
      <c r="X12" s="40">
        <f>Monatsabrechnung!L19*$D$4*(1+$D$6)</f>
        <v/>
      </c>
      <c r="Y12" s="40">
        <f>Monatsabrechnung!M19*$D$4*(1+$D$6)</f>
        <v/>
      </c>
      <c r="Z12" s="40">
        <f>Monatsabrechnung!N19*$D$4*(1+$D$6)</f>
        <v/>
      </c>
      <c r="AA12" s="40">
        <f>Monatsabrechnung!O19*$D$4*(1+$D$6)</f>
        <v/>
      </c>
      <c r="AB12" s="40">
        <f>Monatsabrechnung!P19*$D$4*(1+$D$6)</f>
        <v/>
      </c>
      <c r="AC12" s="28">
        <f>SUM(Q12:AB12)</f>
        <v/>
      </c>
      <c r="AD12" s="40">
        <f>Monatsabrechnung!E19*$D$5*(1+$D$6)</f>
        <v/>
      </c>
      <c r="AE12" s="40">
        <f>Monatsabrechnung!F19*$D$5*(1+$D$6)</f>
        <v/>
      </c>
      <c r="AF12" s="40">
        <f>Monatsabrechnung!G19*$D$5*(1+$D$6)</f>
        <v/>
      </c>
      <c r="AG12" s="40">
        <f>Monatsabrechnung!H19*$D$5*(1+$D$6)</f>
        <v/>
      </c>
      <c r="AH12" s="40">
        <f>Monatsabrechnung!I19*$D$5*(1+$D$6)</f>
        <v/>
      </c>
      <c r="AI12" s="40">
        <f>Monatsabrechnung!J19*$D$5*(1+$D$6)</f>
        <v/>
      </c>
      <c r="AJ12" s="40">
        <f>Monatsabrechnung!K19*$D$5*(1+$D$6)</f>
        <v/>
      </c>
      <c r="AK12" s="40">
        <f>Monatsabrechnung!L19*$D$5*(1+$D$6)</f>
        <v/>
      </c>
      <c r="AL12" s="40">
        <f>Monatsabrechnung!M19*$D$5*(1+$D$6)</f>
        <v/>
      </c>
      <c r="AM12" s="40">
        <f>Monatsabrechnung!N19*$D$5*(1+$D$6)</f>
        <v/>
      </c>
      <c r="AN12" s="40">
        <f>Monatsabrechnung!O19*$D$5*(1+$D$6)</f>
        <v/>
      </c>
      <c r="AO12" s="40">
        <f>Monatsabrechnung!P19*$D$5*(1+$D$6)</f>
        <v/>
      </c>
      <c r="AP12" s="28">
        <f>SUM(AD12:AO12)</f>
        <v/>
      </c>
      <c r="AQ12" s="59">
        <f>P12+AC12+AP12</f>
        <v/>
      </c>
    </row>
    <row r="13">
      <c r="A13" s="89">
        <f>Stammdaten!A13</f>
        <v/>
      </c>
      <c r="B13" s="67">
        <f>Stammdaten!B13</f>
        <v/>
      </c>
      <c r="C13" s="67">
        <f>Stammdaten!C13</f>
        <v/>
      </c>
      <c r="D13" s="40">
        <f>Monatsabrechnung!E22*$D$6</f>
        <v/>
      </c>
      <c r="E13" s="40">
        <f>Monatsabrechnung!F22*$D$6</f>
        <v/>
      </c>
      <c r="F13" s="40">
        <f>Monatsabrechnung!G22*$D$6</f>
        <v/>
      </c>
      <c r="G13" s="40">
        <f>Monatsabrechnung!H22*$D$6</f>
        <v/>
      </c>
      <c r="H13" s="40">
        <f>Monatsabrechnung!I22*$D$6</f>
        <v/>
      </c>
      <c r="I13" s="40">
        <f>Monatsabrechnung!J22*$D$6</f>
        <v/>
      </c>
      <c r="J13" s="40">
        <f>Monatsabrechnung!K22*$D$6</f>
        <v/>
      </c>
      <c r="K13" s="40">
        <f>Monatsabrechnung!L22*$D$6</f>
        <v/>
      </c>
      <c r="L13" s="40">
        <f>Monatsabrechnung!M22*$D$6</f>
        <v/>
      </c>
      <c r="M13" s="40">
        <f>Monatsabrechnung!N22*$D$6</f>
        <v/>
      </c>
      <c r="N13" s="40">
        <f>Monatsabrechnung!O22*$D$6</f>
        <v/>
      </c>
      <c r="O13" s="40">
        <f>Monatsabrechnung!P22*$D$6</f>
        <v/>
      </c>
      <c r="P13" s="28">
        <f>SUM(D13:O13)</f>
        <v/>
      </c>
      <c r="Q13" s="40">
        <f>Monatsabrechnung!E22*$D$4*(1+$D$6)</f>
        <v/>
      </c>
      <c r="R13" s="40">
        <f>Monatsabrechnung!F22*$D$4*(1+$D$6)</f>
        <v/>
      </c>
      <c r="S13" s="40">
        <f>Monatsabrechnung!G22*$D$4*(1+$D$6)</f>
        <v/>
      </c>
      <c r="T13" s="40">
        <f>Monatsabrechnung!H22*$D$4*(1+$D$6)</f>
        <v/>
      </c>
      <c r="U13" s="40">
        <f>Monatsabrechnung!I22*$D$4*(1+$D$6)</f>
        <v/>
      </c>
      <c r="V13" s="40">
        <f>Monatsabrechnung!J22*$D$4*(1+$D$6)</f>
        <v/>
      </c>
      <c r="W13" s="40">
        <f>Monatsabrechnung!K22*$D$4*(1+$D$6)</f>
        <v/>
      </c>
      <c r="X13" s="40">
        <f>Monatsabrechnung!L22*$D$4*(1+$D$6)</f>
        <v/>
      </c>
      <c r="Y13" s="40">
        <f>Monatsabrechnung!M22*$D$4*(1+$D$6)</f>
        <v/>
      </c>
      <c r="Z13" s="40">
        <f>Monatsabrechnung!N22*$D$4*(1+$D$6)</f>
        <v/>
      </c>
      <c r="AA13" s="40">
        <f>Monatsabrechnung!O22*$D$4*(1+$D$6)</f>
        <v/>
      </c>
      <c r="AB13" s="40">
        <f>Monatsabrechnung!P22*$D$4*(1+$D$6)</f>
        <v/>
      </c>
      <c r="AC13" s="28">
        <f>SUM(Q13:AB13)</f>
        <v/>
      </c>
      <c r="AD13" s="40">
        <f>Monatsabrechnung!E22*$D$5*(1+$D$6)</f>
        <v/>
      </c>
      <c r="AE13" s="40">
        <f>Monatsabrechnung!F22*$D$5*(1+$D$6)</f>
        <v/>
      </c>
      <c r="AF13" s="40">
        <f>Monatsabrechnung!G22*$D$5*(1+$D$6)</f>
        <v/>
      </c>
      <c r="AG13" s="40">
        <f>Monatsabrechnung!H22*$D$5*(1+$D$6)</f>
        <v/>
      </c>
      <c r="AH13" s="40">
        <f>Monatsabrechnung!I22*$D$5*(1+$D$6)</f>
        <v/>
      </c>
      <c r="AI13" s="40">
        <f>Monatsabrechnung!J22*$D$5*(1+$D$6)</f>
        <v/>
      </c>
      <c r="AJ13" s="40">
        <f>Monatsabrechnung!K22*$D$5*(1+$D$6)</f>
        <v/>
      </c>
      <c r="AK13" s="40">
        <f>Monatsabrechnung!L22*$D$5*(1+$D$6)</f>
        <v/>
      </c>
      <c r="AL13" s="40">
        <f>Monatsabrechnung!M22*$D$5*(1+$D$6)</f>
        <v/>
      </c>
      <c r="AM13" s="40">
        <f>Monatsabrechnung!N22*$D$5*(1+$D$6)</f>
        <v/>
      </c>
      <c r="AN13" s="40">
        <f>Monatsabrechnung!O22*$D$5*(1+$D$6)</f>
        <v/>
      </c>
      <c r="AO13" s="40">
        <f>Monatsabrechnung!P22*$D$5*(1+$D$6)</f>
        <v/>
      </c>
      <c r="AP13" s="28">
        <f>SUM(AD13:AO13)</f>
        <v/>
      </c>
      <c r="AQ13" s="59">
        <f>P13+AC13+AP13</f>
        <v/>
      </c>
    </row>
    <row r="14">
      <c r="A14" s="89">
        <f>Stammdaten!A14</f>
        <v/>
      </c>
      <c r="B14" s="67">
        <f>Stammdaten!B14</f>
        <v/>
      </c>
      <c r="C14" s="67">
        <f>Stammdaten!C14</f>
        <v/>
      </c>
      <c r="D14" s="40">
        <f>Monatsabrechnung!E25*$D$6</f>
        <v/>
      </c>
      <c r="E14" s="40">
        <f>Monatsabrechnung!F25*$D$6</f>
        <v/>
      </c>
      <c r="F14" s="40">
        <f>Monatsabrechnung!G25*$D$6</f>
        <v/>
      </c>
      <c r="G14" s="40">
        <f>Monatsabrechnung!H25*$D$6</f>
        <v/>
      </c>
      <c r="H14" s="40">
        <f>Monatsabrechnung!I25*$D$6</f>
        <v/>
      </c>
      <c r="I14" s="40">
        <f>Monatsabrechnung!J25*$D$6</f>
        <v/>
      </c>
      <c r="J14" s="40">
        <f>Monatsabrechnung!K25*$D$6</f>
        <v/>
      </c>
      <c r="K14" s="40">
        <f>Monatsabrechnung!L25*$D$6</f>
        <v/>
      </c>
      <c r="L14" s="40">
        <f>Monatsabrechnung!M25*$D$6</f>
        <v/>
      </c>
      <c r="M14" s="40">
        <f>Monatsabrechnung!N25*$D$6</f>
        <v/>
      </c>
      <c r="N14" s="40">
        <f>Monatsabrechnung!O25*$D$6</f>
        <v/>
      </c>
      <c r="O14" s="40">
        <f>Monatsabrechnung!P25*$D$6</f>
        <v/>
      </c>
      <c r="P14" s="28">
        <f>SUM(D14:O14)</f>
        <v/>
      </c>
      <c r="Q14" s="40">
        <f>Monatsabrechnung!E25*$D$4*(1+$D$6)</f>
        <v/>
      </c>
      <c r="R14" s="40">
        <f>Monatsabrechnung!F25*$D$4*(1+$D$6)</f>
        <v/>
      </c>
      <c r="S14" s="40">
        <f>Monatsabrechnung!G25*$D$4*(1+$D$6)</f>
        <v/>
      </c>
      <c r="T14" s="40">
        <f>Monatsabrechnung!H25*$D$4*(1+$D$6)</f>
        <v/>
      </c>
      <c r="U14" s="40">
        <f>Monatsabrechnung!I25*$D$4*(1+$D$6)</f>
        <v/>
      </c>
      <c r="V14" s="40">
        <f>Monatsabrechnung!J25*$D$4*(1+$D$6)</f>
        <v/>
      </c>
      <c r="W14" s="40">
        <f>Monatsabrechnung!K25*$D$4*(1+$D$6)</f>
        <v/>
      </c>
      <c r="X14" s="40">
        <f>Monatsabrechnung!L25*$D$4*(1+$D$6)</f>
        <v/>
      </c>
      <c r="Y14" s="40">
        <f>Monatsabrechnung!M25*$D$4*(1+$D$6)</f>
        <v/>
      </c>
      <c r="Z14" s="40">
        <f>Monatsabrechnung!N25*$D$4*(1+$D$6)</f>
        <v/>
      </c>
      <c r="AA14" s="40">
        <f>Monatsabrechnung!O25*$D$4*(1+$D$6)</f>
        <v/>
      </c>
      <c r="AB14" s="40">
        <f>Monatsabrechnung!P25*$D$4*(1+$D$6)</f>
        <v/>
      </c>
      <c r="AC14" s="28">
        <f>SUM(Q14:AB14)</f>
        <v/>
      </c>
      <c r="AD14" s="40">
        <f>Monatsabrechnung!E25*$D$5*(1+$D$6)</f>
        <v/>
      </c>
      <c r="AE14" s="40">
        <f>Monatsabrechnung!F25*$D$5*(1+$D$6)</f>
        <v/>
      </c>
      <c r="AF14" s="40">
        <f>Monatsabrechnung!G25*$D$5*(1+$D$6)</f>
        <v/>
      </c>
      <c r="AG14" s="40">
        <f>Monatsabrechnung!H25*$D$5*(1+$D$6)</f>
        <v/>
      </c>
      <c r="AH14" s="40">
        <f>Monatsabrechnung!I25*$D$5*(1+$D$6)</f>
        <v/>
      </c>
      <c r="AI14" s="40">
        <f>Monatsabrechnung!J25*$D$5*(1+$D$6)</f>
        <v/>
      </c>
      <c r="AJ14" s="40">
        <f>Monatsabrechnung!K25*$D$5*(1+$D$6)</f>
        <v/>
      </c>
      <c r="AK14" s="40">
        <f>Monatsabrechnung!L25*$D$5*(1+$D$6)</f>
        <v/>
      </c>
      <c r="AL14" s="40">
        <f>Monatsabrechnung!M25*$D$5*(1+$D$6)</f>
        <v/>
      </c>
      <c r="AM14" s="40">
        <f>Monatsabrechnung!N25*$D$5*(1+$D$6)</f>
        <v/>
      </c>
      <c r="AN14" s="40">
        <f>Monatsabrechnung!O25*$D$5*(1+$D$6)</f>
        <v/>
      </c>
      <c r="AO14" s="40">
        <f>Monatsabrechnung!P25*$D$5*(1+$D$6)</f>
        <v/>
      </c>
      <c r="AP14" s="28">
        <f>SUM(AD14:AO14)</f>
        <v/>
      </c>
      <c r="AQ14" s="59">
        <f>P14+AC14+AP14</f>
        <v/>
      </c>
    </row>
    <row r="15">
      <c r="A15" s="89">
        <f>Stammdaten!A15</f>
        <v/>
      </c>
      <c r="B15" s="67">
        <f>Stammdaten!B15</f>
        <v/>
      </c>
      <c r="C15" s="67">
        <f>Stammdaten!C15</f>
        <v/>
      </c>
      <c r="D15" s="40">
        <f>Monatsabrechnung!E28*$D$6</f>
        <v/>
      </c>
      <c r="E15" s="40">
        <f>Monatsabrechnung!F28*$D$6</f>
        <v/>
      </c>
      <c r="F15" s="40">
        <f>Monatsabrechnung!G28*$D$6</f>
        <v/>
      </c>
      <c r="G15" s="40">
        <f>Monatsabrechnung!H28*$D$6</f>
        <v/>
      </c>
      <c r="H15" s="40">
        <f>Monatsabrechnung!I28*$D$6</f>
        <v/>
      </c>
      <c r="I15" s="40">
        <f>Monatsabrechnung!J28*$D$6</f>
        <v/>
      </c>
      <c r="J15" s="40">
        <f>Monatsabrechnung!K28*$D$6</f>
        <v/>
      </c>
      <c r="K15" s="40">
        <f>Monatsabrechnung!L28*$D$6</f>
        <v/>
      </c>
      <c r="L15" s="40">
        <f>Monatsabrechnung!M28*$D$6</f>
        <v/>
      </c>
      <c r="M15" s="40">
        <f>Monatsabrechnung!N28*$D$6</f>
        <v/>
      </c>
      <c r="N15" s="40">
        <f>Monatsabrechnung!O28*$D$6</f>
        <v/>
      </c>
      <c r="O15" s="40">
        <f>Monatsabrechnung!P28*$D$6</f>
        <v/>
      </c>
      <c r="P15" s="28">
        <f>SUM(D15:O15)</f>
        <v/>
      </c>
      <c r="Q15" s="40">
        <f>Monatsabrechnung!E28*$D$4*(1+$D$6)</f>
        <v/>
      </c>
      <c r="R15" s="40">
        <f>Monatsabrechnung!F28*$D$4*(1+$D$6)</f>
        <v/>
      </c>
      <c r="S15" s="40">
        <f>Monatsabrechnung!G28*$D$4*(1+$D$6)</f>
        <v/>
      </c>
      <c r="T15" s="40">
        <f>Monatsabrechnung!H28*$D$4*(1+$D$6)</f>
        <v/>
      </c>
      <c r="U15" s="40">
        <f>Monatsabrechnung!I28*$D$4*(1+$D$6)</f>
        <v/>
      </c>
      <c r="V15" s="40">
        <f>Monatsabrechnung!J28*$D$4*(1+$D$6)</f>
        <v/>
      </c>
      <c r="W15" s="40">
        <f>Monatsabrechnung!K28*$D$4*(1+$D$6)</f>
        <v/>
      </c>
      <c r="X15" s="40">
        <f>Monatsabrechnung!L28*$D$4*(1+$D$6)</f>
        <v/>
      </c>
      <c r="Y15" s="40">
        <f>Monatsabrechnung!M28*$D$4*(1+$D$6)</f>
        <v/>
      </c>
      <c r="Z15" s="40">
        <f>Monatsabrechnung!N28*$D$4*(1+$D$6)</f>
        <v/>
      </c>
      <c r="AA15" s="40">
        <f>Monatsabrechnung!O28*$D$4*(1+$D$6)</f>
        <v/>
      </c>
      <c r="AB15" s="40">
        <f>Monatsabrechnung!P28*$D$4*(1+$D$6)</f>
        <v/>
      </c>
      <c r="AC15" s="28">
        <f>SUM(Q15:AB15)</f>
        <v/>
      </c>
      <c r="AD15" s="40">
        <f>Monatsabrechnung!E28*$D$5*(1+$D$6)</f>
        <v/>
      </c>
      <c r="AE15" s="40">
        <f>Monatsabrechnung!F28*$D$5*(1+$D$6)</f>
        <v/>
      </c>
      <c r="AF15" s="40">
        <f>Monatsabrechnung!G28*$D$5*(1+$D$6)</f>
        <v/>
      </c>
      <c r="AG15" s="40">
        <f>Monatsabrechnung!H28*$D$5*(1+$D$6)</f>
        <v/>
      </c>
      <c r="AH15" s="40">
        <f>Monatsabrechnung!I28*$D$5*(1+$D$6)</f>
        <v/>
      </c>
      <c r="AI15" s="40">
        <f>Monatsabrechnung!J28*$D$5*(1+$D$6)</f>
        <v/>
      </c>
      <c r="AJ15" s="40">
        <f>Monatsabrechnung!K28*$D$5*(1+$D$6)</f>
        <v/>
      </c>
      <c r="AK15" s="40">
        <f>Monatsabrechnung!L28*$D$5*(1+$D$6)</f>
        <v/>
      </c>
      <c r="AL15" s="40">
        <f>Monatsabrechnung!M28*$D$5*(1+$D$6)</f>
        <v/>
      </c>
      <c r="AM15" s="40">
        <f>Monatsabrechnung!N28*$D$5*(1+$D$6)</f>
        <v/>
      </c>
      <c r="AN15" s="40">
        <f>Monatsabrechnung!O28*$D$5*(1+$D$6)</f>
        <v/>
      </c>
      <c r="AO15" s="40">
        <f>Monatsabrechnung!P28*$D$5*(1+$D$6)</f>
        <v/>
      </c>
      <c r="AP15" s="28">
        <f>SUM(AD15:AO15)</f>
        <v/>
      </c>
      <c r="AQ15" s="59">
        <f>P15+AC15+AP15</f>
        <v/>
      </c>
    </row>
    <row r="16">
      <c r="A16" s="89">
        <f>Stammdaten!A16</f>
        <v/>
      </c>
      <c r="B16" s="67">
        <f>Stammdaten!B16</f>
        <v/>
      </c>
      <c r="C16" s="67">
        <f>Stammdaten!C16</f>
        <v/>
      </c>
      <c r="D16" s="40">
        <f>Monatsabrechnung!E31*$D$6</f>
        <v/>
      </c>
      <c r="E16" s="40">
        <f>Monatsabrechnung!F31*$D$6</f>
        <v/>
      </c>
      <c r="F16" s="40">
        <f>Monatsabrechnung!G31*$D$6</f>
        <v/>
      </c>
      <c r="G16" s="40">
        <f>Monatsabrechnung!H31*$D$6</f>
        <v/>
      </c>
      <c r="H16" s="40">
        <f>Monatsabrechnung!I31*$D$6</f>
        <v/>
      </c>
      <c r="I16" s="40">
        <f>Monatsabrechnung!J31*$D$6</f>
        <v/>
      </c>
      <c r="J16" s="40">
        <f>Monatsabrechnung!K31*$D$6</f>
        <v/>
      </c>
      <c r="K16" s="40">
        <f>Monatsabrechnung!L31*$D$6</f>
        <v/>
      </c>
      <c r="L16" s="40">
        <f>Monatsabrechnung!M31*$D$6</f>
        <v/>
      </c>
      <c r="M16" s="40">
        <f>Monatsabrechnung!N31*$D$6</f>
        <v/>
      </c>
      <c r="N16" s="40">
        <f>Monatsabrechnung!O31*$D$6</f>
        <v/>
      </c>
      <c r="O16" s="40">
        <f>Monatsabrechnung!P31*$D$6</f>
        <v/>
      </c>
      <c r="P16" s="28">
        <f>SUM(D16:O16)</f>
        <v/>
      </c>
      <c r="Q16" s="40">
        <f>Monatsabrechnung!E31*$D$4*(1+$D$6)</f>
        <v/>
      </c>
      <c r="R16" s="40">
        <f>Monatsabrechnung!F31*$D$4*(1+$D$6)</f>
        <v/>
      </c>
      <c r="S16" s="40">
        <f>Monatsabrechnung!G31*$D$4*(1+$D$6)</f>
        <v/>
      </c>
      <c r="T16" s="40">
        <f>Monatsabrechnung!H31*$D$4*(1+$D$6)</f>
        <v/>
      </c>
      <c r="U16" s="40">
        <f>Monatsabrechnung!I31*$D$4*(1+$D$6)</f>
        <v/>
      </c>
      <c r="V16" s="40">
        <f>Monatsabrechnung!J31*$D$4*(1+$D$6)</f>
        <v/>
      </c>
      <c r="W16" s="40">
        <f>Monatsabrechnung!K31*$D$4*(1+$D$6)</f>
        <v/>
      </c>
      <c r="X16" s="40">
        <f>Monatsabrechnung!L31*$D$4*(1+$D$6)</f>
        <v/>
      </c>
      <c r="Y16" s="40">
        <f>Monatsabrechnung!M31*$D$4*(1+$D$6)</f>
        <v/>
      </c>
      <c r="Z16" s="40">
        <f>Monatsabrechnung!N31*$D$4*(1+$D$6)</f>
        <v/>
      </c>
      <c r="AA16" s="40">
        <f>Monatsabrechnung!O31*$D$4*(1+$D$6)</f>
        <v/>
      </c>
      <c r="AB16" s="40">
        <f>Monatsabrechnung!P31*$D$4*(1+$D$6)</f>
        <v/>
      </c>
      <c r="AC16" s="28">
        <f>SUM(Q16:AB16)</f>
        <v/>
      </c>
      <c r="AD16" s="40">
        <f>Monatsabrechnung!E31*$D$5*(1+$D$6)</f>
        <v/>
      </c>
      <c r="AE16" s="40">
        <f>Monatsabrechnung!F31*$D$5*(1+$D$6)</f>
        <v/>
      </c>
      <c r="AF16" s="40">
        <f>Monatsabrechnung!G31*$D$5*(1+$D$6)</f>
        <v/>
      </c>
      <c r="AG16" s="40">
        <f>Monatsabrechnung!H31*$D$5*(1+$D$6)</f>
        <v/>
      </c>
      <c r="AH16" s="40">
        <f>Monatsabrechnung!I31*$D$5*(1+$D$6)</f>
        <v/>
      </c>
      <c r="AI16" s="40">
        <f>Monatsabrechnung!J31*$D$5*(1+$D$6)</f>
        <v/>
      </c>
      <c r="AJ16" s="40">
        <f>Monatsabrechnung!K31*$D$5*(1+$D$6)</f>
        <v/>
      </c>
      <c r="AK16" s="40">
        <f>Monatsabrechnung!L31*$D$5*(1+$D$6)</f>
        <v/>
      </c>
      <c r="AL16" s="40">
        <f>Monatsabrechnung!M31*$D$5*(1+$D$6)</f>
        <v/>
      </c>
      <c r="AM16" s="40">
        <f>Monatsabrechnung!N31*$D$5*(1+$D$6)</f>
        <v/>
      </c>
      <c r="AN16" s="40">
        <f>Monatsabrechnung!O31*$D$5*(1+$D$6)</f>
        <v/>
      </c>
      <c r="AO16" s="40">
        <f>Monatsabrechnung!P31*$D$5*(1+$D$6)</f>
        <v/>
      </c>
      <c r="AP16" s="28">
        <f>SUM(AD16:AO16)</f>
        <v/>
      </c>
      <c r="AQ16" s="59">
        <f>P16+AC16+AP16</f>
        <v/>
      </c>
    </row>
    <row r="17">
      <c r="A17" s="89">
        <f>Stammdaten!A17</f>
        <v/>
      </c>
      <c r="B17" s="67">
        <f>Stammdaten!B17</f>
        <v/>
      </c>
      <c r="C17" s="67">
        <f>Stammdaten!C17</f>
        <v/>
      </c>
      <c r="D17" s="40">
        <f>Monatsabrechnung!E34*$D$6</f>
        <v/>
      </c>
      <c r="E17" s="40">
        <f>Monatsabrechnung!F34*$D$6</f>
        <v/>
      </c>
      <c r="F17" s="40">
        <f>Monatsabrechnung!G34*$D$6</f>
        <v/>
      </c>
      <c r="G17" s="40">
        <f>Monatsabrechnung!H34*$D$6</f>
        <v/>
      </c>
      <c r="H17" s="40">
        <f>Monatsabrechnung!I34*$D$6</f>
        <v/>
      </c>
      <c r="I17" s="40">
        <f>Monatsabrechnung!J34*$D$6</f>
        <v/>
      </c>
      <c r="J17" s="40">
        <f>Monatsabrechnung!K34*$D$6</f>
        <v/>
      </c>
      <c r="K17" s="40">
        <f>Monatsabrechnung!L34*$D$6</f>
        <v/>
      </c>
      <c r="L17" s="40">
        <f>Monatsabrechnung!M34*$D$6</f>
        <v/>
      </c>
      <c r="M17" s="40">
        <f>Monatsabrechnung!N34*$D$6</f>
        <v/>
      </c>
      <c r="N17" s="40">
        <f>Monatsabrechnung!O34*$D$6</f>
        <v/>
      </c>
      <c r="O17" s="40">
        <f>Monatsabrechnung!P34*$D$6</f>
        <v/>
      </c>
      <c r="P17" s="28">
        <f>SUM(D17:O17)</f>
        <v/>
      </c>
      <c r="Q17" s="40">
        <f>Monatsabrechnung!E34*$D$4*(1+$D$6)</f>
        <v/>
      </c>
      <c r="R17" s="40">
        <f>Monatsabrechnung!F34*$D$4*(1+$D$6)</f>
        <v/>
      </c>
      <c r="S17" s="40">
        <f>Monatsabrechnung!G34*$D$4*(1+$D$6)</f>
        <v/>
      </c>
      <c r="T17" s="40">
        <f>Monatsabrechnung!H34*$D$4*(1+$D$6)</f>
        <v/>
      </c>
      <c r="U17" s="40">
        <f>Monatsabrechnung!I34*$D$4*(1+$D$6)</f>
        <v/>
      </c>
      <c r="V17" s="40">
        <f>Monatsabrechnung!J34*$D$4*(1+$D$6)</f>
        <v/>
      </c>
      <c r="W17" s="40">
        <f>Monatsabrechnung!K34*$D$4*(1+$D$6)</f>
        <v/>
      </c>
      <c r="X17" s="40">
        <f>Monatsabrechnung!L34*$D$4*(1+$D$6)</f>
        <v/>
      </c>
      <c r="Y17" s="40">
        <f>Monatsabrechnung!M34*$D$4*(1+$D$6)</f>
        <v/>
      </c>
      <c r="Z17" s="40">
        <f>Monatsabrechnung!N34*$D$4*(1+$D$6)</f>
        <v/>
      </c>
      <c r="AA17" s="40">
        <f>Monatsabrechnung!O34*$D$4*(1+$D$6)</f>
        <v/>
      </c>
      <c r="AB17" s="40">
        <f>Monatsabrechnung!P34*$D$4*(1+$D$6)</f>
        <v/>
      </c>
      <c r="AC17" s="28">
        <f>SUM(Q17:AB17)</f>
        <v/>
      </c>
      <c r="AD17" s="40">
        <f>Monatsabrechnung!E34*$D$5*(1+$D$6)</f>
        <v/>
      </c>
      <c r="AE17" s="40">
        <f>Monatsabrechnung!F34*$D$5*(1+$D$6)</f>
        <v/>
      </c>
      <c r="AF17" s="40">
        <f>Monatsabrechnung!G34*$D$5*(1+$D$6)</f>
        <v/>
      </c>
      <c r="AG17" s="40">
        <f>Monatsabrechnung!H34*$D$5*(1+$D$6)</f>
        <v/>
      </c>
      <c r="AH17" s="40">
        <f>Monatsabrechnung!I34*$D$5*(1+$D$6)</f>
        <v/>
      </c>
      <c r="AI17" s="40">
        <f>Monatsabrechnung!J34*$D$5*(1+$D$6)</f>
        <v/>
      </c>
      <c r="AJ17" s="40">
        <f>Monatsabrechnung!K34*$D$5*(1+$D$6)</f>
        <v/>
      </c>
      <c r="AK17" s="40">
        <f>Monatsabrechnung!L34*$D$5*(1+$D$6)</f>
        <v/>
      </c>
      <c r="AL17" s="40">
        <f>Monatsabrechnung!M34*$D$5*(1+$D$6)</f>
        <v/>
      </c>
      <c r="AM17" s="40">
        <f>Monatsabrechnung!N34*$D$5*(1+$D$6)</f>
        <v/>
      </c>
      <c r="AN17" s="40">
        <f>Monatsabrechnung!O34*$D$5*(1+$D$6)</f>
        <v/>
      </c>
      <c r="AO17" s="40">
        <f>Monatsabrechnung!P34*$D$5*(1+$D$6)</f>
        <v/>
      </c>
      <c r="AP17" s="28">
        <f>SUM(AD17:AO17)</f>
        <v/>
      </c>
      <c r="AQ17" s="59">
        <f>P17+AC17+AP17</f>
        <v/>
      </c>
    </row>
    <row r="18">
      <c r="A18" s="89">
        <f>Stammdaten!A18</f>
        <v/>
      </c>
      <c r="B18" s="67">
        <f>Stammdaten!B18</f>
        <v/>
      </c>
      <c r="C18" s="67">
        <f>Stammdaten!C18</f>
        <v/>
      </c>
      <c r="D18" s="40">
        <f>Monatsabrechnung!E37*$D$6</f>
        <v/>
      </c>
      <c r="E18" s="40">
        <f>Monatsabrechnung!F37*$D$6</f>
        <v/>
      </c>
      <c r="F18" s="40">
        <f>Monatsabrechnung!G37*$D$6</f>
        <v/>
      </c>
      <c r="G18" s="40">
        <f>Monatsabrechnung!H37*$D$6</f>
        <v/>
      </c>
      <c r="H18" s="40">
        <f>Monatsabrechnung!I37*$D$6</f>
        <v/>
      </c>
      <c r="I18" s="40">
        <f>Monatsabrechnung!J37*$D$6</f>
        <v/>
      </c>
      <c r="J18" s="40">
        <f>Monatsabrechnung!K37*$D$6</f>
        <v/>
      </c>
      <c r="K18" s="40">
        <f>Monatsabrechnung!L37*$D$6</f>
        <v/>
      </c>
      <c r="L18" s="40">
        <f>Monatsabrechnung!M37*$D$6</f>
        <v/>
      </c>
      <c r="M18" s="40">
        <f>Monatsabrechnung!N37*$D$6</f>
        <v/>
      </c>
      <c r="N18" s="40">
        <f>Monatsabrechnung!O37*$D$6</f>
        <v/>
      </c>
      <c r="O18" s="40">
        <f>Monatsabrechnung!P37*$D$6</f>
        <v/>
      </c>
      <c r="P18" s="28">
        <f>SUM(D18:O18)</f>
        <v/>
      </c>
      <c r="Q18" s="40">
        <f>Monatsabrechnung!E37*$D$4*(1+$D$6)</f>
        <v/>
      </c>
      <c r="R18" s="40">
        <f>Monatsabrechnung!F37*$D$4*(1+$D$6)</f>
        <v/>
      </c>
      <c r="S18" s="40">
        <f>Monatsabrechnung!G37*$D$4*(1+$D$6)</f>
        <v/>
      </c>
      <c r="T18" s="40">
        <f>Monatsabrechnung!H37*$D$4*(1+$D$6)</f>
        <v/>
      </c>
      <c r="U18" s="40">
        <f>Monatsabrechnung!I37*$D$4*(1+$D$6)</f>
        <v/>
      </c>
      <c r="V18" s="40">
        <f>Monatsabrechnung!J37*$D$4*(1+$D$6)</f>
        <v/>
      </c>
      <c r="W18" s="40">
        <f>Monatsabrechnung!K37*$D$4*(1+$D$6)</f>
        <v/>
      </c>
      <c r="X18" s="40">
        <f>Monatsabrechnung!L37*$D$4*(1+$D$6)</f>
        <v/>
      </c>
      <c r="Y18" s="40">
        <f>Monatsabrechnung!M37*$D$4*(1+$D$6)</f>
        <v/>
      </c>
      <c r="Z18" s="40">
        <f>Monatsabrechnung!N37*$D$4*(1+$D$6)</f>
        <v/>
      </c>
      <c r="AA18" s="40">
        <f>Monatsabrechnung!O37*$D$4*(1+$D$6)</f>
        <v/>
      </c>
      <c r="AB18" s="40">
        <f>Monatsabrechnung!P37*$D$4*(1+$D$6)</f>
        <v/>
      </c>
      <c r="AC18" s="28">
        <f>SUM(Q18:AB18)</f>
        <v/>
      </c>
      <c r="AD18" s="40">
        <f>Monatsabrechnung!E37*$D$5*(1+$D$6)</f>
        <v/>
      </c>
      <c r="AE18" s="40">
        <f>Monatsabrechnung!F37*$D$5*(1+$D$6)</f>
        <v/>
      </c>
      <c r="AF18" s="40">
        <f>Monatsabrechnung!G37*$D$5*(1+$D$6)</f>
        <v/>
      </c>
      <c r="AG18" s="40">
        <f>Monatsabrechnung!H37*$D$5*(1+$D$6)</f>
        <v/>
      </c>
      <c r="AH18" s="40">
        <f>Monatsabrechnung!I37*$D$5*(1+$D$6)</f>
        <v/>
      </c>
      <c r="AI18" s="40">
        <f>Monatsabrechnung!J37*$D$5*(1+$D$6)</f>
        <v/>
      </c>
      <c r="AJ18" s="40">
        <f>Monatsabrechnung!K37*$D$5*(1+$D$6)</f>
        <v/>
      </c>
      <c r="AK18" s="40">
        <f>Monatsabrechnung!L37*$D$5*(1+$D$6)</f>
        <v/>
      </c>
      <c r="AL18" s="40">
        <f>Monatsabrechnung!M37*$D$5*(1+$D$6)</f>
        <v/>
      </c>
      <c r="AM18" s="40">
        <f>Monatsabrechnung!N37*$D$5*(1+$D$6)</f>
        <v/>
      </c>
      <c r="AN18" s="40">
        <f>Monatsabrechnung!O37*$D$5*(1+$D$6)</f>
        <v/>
      </c>
      <c r="AO18" s="40">
        <f>Monatsabrechnung!P37*$D$5*(1+$D$6)</f>
        <v/>
      </c>
      <c r="AP18" s="28">
        <f>SUM(AD18:AO18)</f>
        <v/>
      </c>
      <c r="AQ18" s="59">
        <f>P18+AC18+AP18</f>
        <v/>
      </c>
    </row>
    <row r="19">
      <c r="A19" s="91">
        <f>Stammdaten!A19</f>
        <v/>
      </c>
      <c r="B19" s="73">
        <f>Stammdaten!B19</f>
        <v/>
      </c>
      <c r="C19" s="73">
        <f>Stammdaten!C19</f>
        <v/>
      </c>
      <c r="D19" s="40">
        <f>Monatsabrechnung!E40*$D$6</f>
        <v/>
      </c>
      <c r="E19" s="40">
        <f>Monatsabrechnung!F40*$D$6</f>
        <v/>
      </c>
      <c r="F19" s="40">
        <f>Monatsabrechnung!G40*$D$6</f>
        <v/>
      </c>
      <c r="G19" s="40">
        <f>Monatsabrechnung!H40*$D$6</f>
        <v/>
      </c>
      <c r="H19" s="40">
        <f>Monatsabrechnung!I40*$D$6</f>
        <v/>
      </c>
      <c r="I19" s="40">
        <f>Monatsabrechnung!J40*$D$6</f>
        <v/>
      </c>
      <c r="J19" s="40">
        <f>Monatsabrechnung!K40*$D$6</f>
        <v/>
      </c>
      <c r="K19" s="40">
        <f>Monatsabrechnung!L40*$D$6</f>
        <v/>
      </c>
      <c r="L19" s="40">
        <f>Monatsabrechnung!M40*$D$6</f>
        <v/>
      </c>
      <c r="M19" s="40">
        <f>Monatsabrechnung!N40*$D$6</f>
        <v/>
      </c>
      <c r="N19" s="40">
        <f>Monatsabrechnung!O40*$D$6</f>
        <v/>
      </c>
      <c r="O19" s="40">
        <f>Monatsabrechnung!P40*$D$6</f>
        <v/>
      </c>
      <c r="P19" s="28">
        <f>SUM(D19:O19)</f>
        <v/>
      </c>
      <c r="Q19" s="40">
        <f>Monatsabrechnung!E40*$D$4*(1+$D$6)</f>
        <v/>
      </c>
      <c r="R19" s="40">
        <f>Monatsabrechnung!F40*$D$4*(1+$D$6)</f>
        <v/>
      </c>
      <c r="S19" s="40">
        <f>Monatsabrechnung!G40*$D$4*(1+$D$6)</f>
        <v/>
      </c>
      <c r="T19" s="40">
        <f>Monatsabrechnung!H40*$D$4*(1+$D$6)</f>
        <v/>
      </c>
      <c r="U19" s="40">
        <f>Monatsabrechnung!I40*$D$4*(1+$D$6)</f>
        <v/>
      </c>
      <c r="V19" s="40">
        <f>Monatsabrechnung!J40*$D$4*(1+$D$6)</f>
        <v/>
      </c>
      <c r="W19" s="40">
        <f>Monatsabrechnung!K40*$D$4*(1+$D$6)</f>
        <v/>
      </c>
      <c r="X19" s="40">
        <f>Monatsabrechnung!L40*$D$4*(1+$D$6)</f>
        <v/>
      </c>
      <c r="Y19" s="40">
        <f>Monatsabrechnung!M40*$D$4*(1+$D$6)</f>
        <v/>
      </c>
      <c r="Z19" s="40">
        <f>Monatsabrechnung!N40*$D$4*(1+$D$6)</f>
        <v/>
      </c>
      <c r="AA19" s="40">
        <f>Monatsabrechnung!O40*$D$4*(1+$D$6)</f>
        <v/>
      </c>
      <c r="AB19" s="40">
        <f>Monatsabrechnung!P40*$D$4*(1+$D$6)</f>
        <v/>
      </c>
      <c r="AC19" s="28">
        <f>SUM(Q19:AB19)</f>
        <v/>
      </c>
      <c r="AD19" s="40">
        <f>Monatsabrechnung!E40*$D$5*(1+$D$6)</f>
        <v/>
      </c>
      <c r="AE19" s="40">
        <f>Monatsabrechnung!F40*$D$5*(1+$D$6)</f>
        <v/>
      </c>
      <c r="AF19" s="40">
        <f>Monatsabrechnung!G40*$D$5*(1+$D$6)</f>
        <v/>
      </c>
      <c r="AG19" s="40">
        <f>Monatsabrechnung!H40*$D$5*(1+$D$6)</f>
        <v/>
      </c>
      <c r="AH19" s="40">
        <f>Monatsabrechnung!I40*$D$5*(1+$D$6)</f>
        <v/>
      </c>
      <c r="AI19" s="40">
        <f>Monatsabrechnung!J40*$D$5*(1+$D$6)</f>
        <v/>
      </c>
      <c r="AJ19" s="40">
        <f>Monatsabrechnung!K40*$D$5*(1+$D$6)</f>
        <v/>
      </c>
      <c r="AK19" s="40">
        <f>Monatsabrechnung!L40*$D$5*(1+$D$6)</f>
        <v/>
      </c>
      <c r="AL19" s="40">
        <f>Monatsabrechnung!M40*$D$5*(1+$D$6)</f>
        <v/>
      </c>
      <c r="AM19" s="40">
        <f>Monatsabrechnung!N40*$D$5*(1+$D$6)</f>
        <v/>
      </c>
      <c r="AN19" s="40">
        <f>Monatsabrechnung!O40*$D$5*(1+$D$6)</f>
        <v/>
      </c>
      <c r="AO19" s="40">
        <f>Monatsabrechnung!P40*$D$5*(1+$D$6)</f>
        <v/>
      </c>
      <c r="AP19" s="28">
        <f>SUM(AD19:AO19)</f>
        <v/>
      </c>
      <c r="AQ19" s="59">
        <f>P19+AC19+AP19</f>
        <v/>
      </c>
    </row>
    <row r="20">
      <c r="A20" s="91">
        <f>Stammdaten!A20</f>
        <v/>
      </c>
      <c r="B20" s="73">
        <f>Stammdaten!B20</f>
        <v/>
      </c>
      <c r="C20" s="73">
        <f>Stammdaten!C20</f>
        <v/>
      </c>
      <c r="D20" s="40">
        <f>Monatsabrechnung!E43*$D$6</f>
        <v/>
      </c>
      <c r="E20" s="40">
        <f>Monatsabrechnung!F43*$D$6</f>
        <v/>
      </c>
      <c r="F20" s="40">
        <f>Monatsabrechnung!G43*$D$6</f>
        <v/>
      </c>
      <c r="G20" s="40">
        <f>Monatsabrechnung!H43*$D$6</f>
        <v/>
      </c>
      <c r="H20" s="40">
        <f>Monatsabrechnung!I43*$D$6</f>
        <v/>
      </c>
      <c r="I20" s="40">
        <f>Monatsabrechnung!J43*$D$6</f>
        <v/>
      </c>
      <c r="J20" s="40">
        <f>Monatsabrechnung!K43*$D$6</f>
        <v/>
      </c>
      <c r="K20" s="40">
        <f>Monatsabrechnung!L43*$D$6</f>
        <v/>
      </c>
      <c r="L20" s="40">
        <f>Monatsabrechnung!M43*$D$6</f>
        <v/>
      </c>
      <c r="M20" s="40">
        <f>Monatsabrechnung!N43*$D$6</f>
        <v/>
      </c>
      <c r="N20" s="40">
        <f>Monatsabrechnung!O43*$D$6</f>
        <v/>
      </c>
      <c r="O20" s="40">
        <f>Monatsabrechnung!P43*$D$6</f>
        <v/>
      </c>
      <c r="P20" s="28">
        <f>SUM(D20:O20)</f>
        <v/>
      </c>
      <c r="Q20" s="40">
        <f>Monatsabrechnung!E43*$D$4*(1+$D$6)</f>
        <v/>
      </c>
      <c r="R20" s="40">
        <f>Monatsabrechnung!F43*$D$4*(1+$D$6)</f>
        <v/>
      </c>
      <c r="S20" s="40">
        <f>Monatsabrechnung!G43*$D$4*(1+$D$6)</f>
        <v/>
      </c>
      <c r="T20" s="40">
        <f>Monatsabrechnung!H43*$D$4*(1+$D$6)</f>
        <v/>
      </c>
      <c r="U20" s="40">
        <f>Monatsabrechnung!I43*$D$4*(1+$D$6)</f>
        <v/>
      </c>
      <c r="V20" s="40">
        <f>Monatsabrechnung!J43*$D$4*(1+$D$6)</f>
        <v/>
      </c>
      <c r="W20" s="40">
        <f>Monatsabrechnung!K43*$D$4*(1+$D$6)</f>
        <v/>
      </c>
      <c r="X20" s="40">
        <f>Monatsabrechnung!L43*$D$4*(1+$D$6)</f>
        <v/>
      </c>
      <c r="Y20" s="40">
        <f>Monatsabrechnung!M43*$D$4*(1+$D$6)</f>
        <v/>
      </c>
      <c r="Z20" s="40">
        <f>Monatsabrechnung!N43*$D$4*(1+$D$6)</f>
        <v/>
      </c>
      <c r="AA20" s="40">
        <f>Monatsabrechnung!O43*$D$4*(1+$D$6)</f>
        <v/>
      </c>
      <c r="AB20" s="40">
        <f>Monatsabrechnung!P43*$D$4*(1+$D$6)</f>
        <v/>
      </c>
      <c r="AC20" s="28">
        <f>SUM(Q20:AB20)</f>
        <v/>
      </c>
      <c r="AD20" s="40">
        <f>Monatsabrechnung!E43*$D$5*(1+$D$6)</f>
        <v/>
      </c>
      <c r="AE20" s="40">
        <f>Monatsabrechnung!F43*$D$5*(1+$D$6)</f>
        <v/>
      </c>
      <c r="AF20" s="40">
        <f>Monatsabrechnung!G43*$D$5*(1+$D$6)</f>
        <v/>
      </c>
      <c r="AG20" s="40">
        <f>Monatsabrechnung!H43*$D$5*(1+$D$6)</f>
        <v/>
      </c>
      <c r="AH20" s="40">
        <f>Monatsabrechnung!I43*$D$5*(1+$D$6)</f>
        <v/>
      </c>
      <c r="AI20" s="40">
        <f>Monatsabrechnung!J43*$D$5*(1+$D$6)</f>
        <v/>
      </c>
      <c r="AJ20" s="40">
        <f>Monatsabrechnung!K43*$D$5*(1+$D$6)</f>
        <v/>
      </c>
      <c r="AK20" s="40">
        <f>Monatsabrechnung!L43*$D$5*(1+$D$6)</f>
        <v/>
      </c>
      <c r="AL20" s="40">
        <f>Monatsabrechnung!M43*$D$5*(1+$D$6)</f>
        <v/>
      </c>
      <c r="AM20" s="40">
        <f>Monatsabrechnung!N43*$D$5*(1+$D$6)</f>
        <v/>
      </c>
      <c r="AN20" s="40">
        <f>Monatsabrechnung!O43*$D$5*(1+$D$6)</f>
        <v/>
      </c>
      <c r="AO20" s="40">
        <f>Monatsabrechnung!P43*$D$5*(1+$D$6)</f>
        <v/>
      </c>
      <c r="AP20" s="28">
        <f>SUM(AD20:AO20)</f>
        <v/>
      </c>
      <c r="AQ20" s="59">
        <f>P20+AC20+AP20</f>
        <v/>
      </c>
    </row>
    <row r="21">
      <c r="A21" s="91">
        <f>Stammdaten!A21</f>
        <v/>
      </c>
      <c r="B21" s="73">
        <f>Stammdaten!B21</f>
        <v/>
      </c>
      <c r="C21" s="73">
        <f>Stammdaten!C21</f>
        <v/>
      </c>
      <c r="D21" s="40">
        <f>Monatsabrechnung!E46*$D$6</f>
        <v/>
      </c>
      <c r="E21" s="40">
        <f>Monatsabrechnung!F46*$D$6</f>
        <v/>
      </c>
      <c r="F21" s="40">
        <f>Monatsabrechnung!G46*$D$6</f>
        <v/>
      </c>
      <c r="G21" s="40">
        <f>Monatsabrechnung!H46*$D$6</f>
        <v/>
      </c>
      <c r="H21" s="40">
        <f>Monatsabrechnung!I46*$D$6</f>
        <v/>
      </c>
      <c r="I21" s="40">
        <f>Monatsabrechnung!J46*$D$6</f>
        <v/>
      </c>
      <c r="J21" s="40">
        <f>Monatsabrechnung!K46*$D$6</f>
        <v/>
      </c>
      <c r="K21" s="40">
        <f>Monatsabrechnung!L46*$D$6</f>
        <v/>
      </c>
      <c r="L21" s="40">
        <f>Monatsabrechnung!M46*$D$6</f>
        <v/>
      </c>
      <c r="M21" s="40">
        <f>Monatsabrechnung!N46*$D$6</f>
        <v/>
      </c>
      <c r="N21" s="40">
        <f>Monatsabrechnung!O46*$D$6</f>
        <v/>
      </c>
      <c r="O21" s="40">
        <f>Monatsabrechnung!P46*$D$6</f>
        <v/>
      </c>
      <c r="P21" s="28">
        <f>SUM(D21:O21)</f>
        <v/>
      </c>
      <c r="Q21" s="40">
        <f>Monatsabrechnung!E46*$D$4*(1+$D$6)</f>
        <v/>
      </c>
      <c r="R21" s="40">
        <f>Monatsabrechnung!F46*$D$4*(1+$D$6)</f>
        <v/>
      </c>
      <c r="S21" s="40">
        <f>Monatsabrechnung!G46*$D$4*(1+$D$6)</f>
        <v/>
      </c>
      <c r="T21" s="40">
        <f>Monatsabrechnung!H46*$D$4*(1+$D$6)</f>
        <v/>
      </c>
      <c r="U21" s="40">
        <f>Monatsabrechnung!I46*$D$4*(1+$D$6)</f>
        <v/>
      </c>
      <c r="V21" s="40">
        <f>Monatsabrechnung!J46*$D$4*(1+$D$6)</f>
        <v/>
      </c>
      <c r="W21" s="40">
        <f>Monatsabrechnung!K46*$D$4*(1+$D$6)</f>
        <v/>
      </c>
      <c r="X21" s="40">
        <f>Monatsabrechnung!L46*$D$4*(1+$D$6)</f>
        <v/>
      </c>
      <c r="Y21" s="40">
        <f>Monatsabrechnung!M46*$D$4*(1+$D$6)</f>
        <v/>
      </c>
      <c r="Z21" s="40">
        <f>Monatsabrechnung!N46*$D$4*(1+$D$6)</f>
        <v/>
      </c>
      <c r="AA21" s="40">
        <f>Monatsabrechnung!O46*$D$4*(1+$D$6)</f>
        <v/>
      </c>
      <c r="AB21" s="40">
        <f>Monatsabrechnung!P46*$D$4*(1+$D$6)</f>
        <v/>
      </c>
      <c r="AC21" s="28">
        <f>SUM(Q21:AB21)</f>
        <v/>
      </c>
      <c r="AD21" s="40">
        <f>Monatsabrechnung!E46*$D$5*(1+$D$6)</f>
        <v/>
      </c>
      <c r="AE21" s="40">
        <f>Monatsabrechnung!F46*$D$5*(1+$D$6)</f>
        <v/>
      </c>
      <c r="AF21" s="40">
        <f>Monatsabrechnung!G46*$D$5*(1+$D$6)</f>
        <v/>
      </c>
      <c r="AG21" s="40">
        <f>Monatsabrechnung!H46*$D$5*(1+$D$6)</f>
        <v/>
      </c>
      <c r="AH21" s="40">
        <f>Monatsabrechnung!I46*$D$5*(1+$D$6)</f>
        <v/>
      </c>
      <c r="AI21" s="40">
        <f>Monatsabrechnung!J46*$D$5*(1+$D$6)</f>
        <v/>
      </c>
      <c r="AJ21" s="40">
        <f>Monatsabrechnung!K46*$D$5*(1+$D$6)</f>
        <v/>
      </c>
      <c r="AK21" s="40">
        <f>Monatsabrechnung!L46*$D$5*(1+$D$6)</f>
        <v/>
      </c>
      <c r="AL21" s="40">
        <f>Monatsabrechnung!M46*$D$5*(1+$D$6)</f>
        <v/>
      </c>
      <c r="AM21" s="40">
        <f>Monatsabrechnung!N46*$D$5*(1+$D$6)</f>
        <v/>
      </c>
      <c r="AN21" s="40">
        <f>Monatsabrechnung!O46*$D$5*(1+$D$6)</f>
        <v/>
      </c>
      <c r="AO21" s="40">
        <f>Monatsabrechnung!P46*$D$5*(1+$D$6)</f>
        <v/>
      </c>
      <c r="AP21" s="28">
        <f>SUM(AD21:AO21)</f>
        <v/>
      </c>
      <c r="AQ21" s="59">
        <f>P21+AC21+AP21</f>
        <v/>
      </c>
    </row>
    <row r="22">
      <c r="A22" s="91">
        <f>Stammdaten!A22</f>
        <v/>
      </c>
      <c r="B22" s="73">
        <f>Stammdaten!B22</f>
        <v/>
      </c>
      <c r="C22" s="73">
        <f>Stammdaten!C22</f>
        <v/>
      </c>
      <c r="D22" s="40">
        <f>Monatsabrechnung!E49*$D$6</f>
        <v/>
      </c>
      <c r="E22" s="40">
        <f>Monatsabrechnung!F49*$D$6</f>
        <v/>
      </c>
      <c r="F22" s="40">
        <f>Monatsabrechnung!G49*$D$6</f>
        <v/>
      </c>
      <c r="G22" s="40">
        <f>Monatsabrechnung!H49*$D$6</f>
        <v/>
      </c>
      <c r="H22" s="40">
        <f>Monatsabrechnung!I49*$D$6</f>
        <v/>
      </c>
      <c r="I22" s="40">
        <f>Monatsabrechnung!J49*$D$6</f>
        <v/>
      </c>
      <c r="J22" s="40">
        <f>Monatsabrechnung!K49*$D$6</f>
        <v/>
      </c>
      <c r="K22" s="40">
        <f>Monatsabrechnung!L49*$D$6</f>
        <v/>
      </c>
      <c r="L22" s="40">
        <f>Monatsabrechnung!M49*$D$6</f>
        <v/>
      </c>
      <c r="M22" s="40">
        <f>Monatsabrechnung!N49*$D$6</f>
        <v/>
      </c>
      <c r="N22" s="40">
        <f>Monatsabrechnung!O49*$D$6</f>
        <v/>
      </c>
      <c r="O22" s="40">
        <f>Monatsabrechnung!P49*$D$6</f>
        <v/>
      </c>
      <c r="P22" s="28">
        <f>SUM(D22:O22)</f>
        <v/>
      </c>
      <c r="Q22" s="40">
        <f>Monatsabrechnung!E49*$D$4*(1+$D$6)</f>
        <v/>
      </c>
      <c r="R22" s="40">
        <f>Monatsabrechnung!F49*$D$4*(1+$D$6)</f>
        <v/>
      </c>
      <c r="S22" s="40">
        <f>Monatsabrechnung!G49*$D$4*(1+$D$6)</f>
        <v/>
      </c>
      <c r="T22" s="40">
        <f>Monatsabrechnung!H49*$D$4*(1+$D$6)</f>
        <v/>
      </c>
      <c r="U22" s="40">
        <f>Monatsabrechnung!I49*$D$4*(1+$D$6)</f>
        <v/>
      </c>
      <c r="V22" s="40">
        <f>Monatsabrechnung!J49*$D$4*(1+$D$6)</f>
        <v/>
      </c>
      <c r="W22" s="40">
        <f>Monatsabrechnung!K49*$D$4*(1+$D$6)</f>
        <v/>
      </c>
      <c r="X22" s="40">
        <f>Monatsabrechnung!L49*$D$4*(1+$D$6)</f>
        <v/>
      </c>
      <c r="Y22" s="40">
        <f>Monatsabrechnung!M49*$D$4*(1+$D$6)</f>
        <v/>
      </c>
      <c r="Z22" s="40">
        <f>Monatsabrechnung!N49*$D$4*(1+$D$6)</f>
        <v/>
      </c>
      <c r="AA22" s="40">
        <f>Monatsabrechnung!O49*$D$4*(1+$D$6)</f>
        <v/>
      </c>
      <c r="AB22" s="40">
        <f>Monatsabrechnung!P49*$D$4*(1+$D$6)</f>
        <v/>
      </c>
      <c r="AC22" s="28">
        <f>SUM(Q22:AB22)</f>
        <v/>
      </c>
      <c r="AD22" s="40">
        <f>Monatsabrechnung!E49*$D$5*(1+$D$6)</f>
        <v/>
      </c>
      <c r="AE22" s="40">
        <f>Monatsabrechnung!F49*$D$5*(1+$D$6)</f>
        <v/>
      </c>
      <c r="AF22" s="40">
        <f>Monatsabrechnung!G49*$D$5*(1+$D$6)</f>
        <v/>
      </c>
      <c r="AG22" s="40">
        <f>Monatsabrechnung!H49*$D$5*(1+$D$6)</f>
        <v/>
      </c>
      <c r="AH22" s="40">
        <f>Monatsabrechnung!I49*$D$5*(1+$D$6)</f>
        <v/>
      </c>
      <c r="AI22" s="40">
        <f>Monatsabrechnung!J49*$D$5*(1+$D$6)</f>
        <v/>
      </c>
      <c r="AJ22" s="40">
        <f>Monatsabrechnung!K49*$D$5*(1+$D$6)</f>
        <v/>
      </c>
      <c r="AK22" s="40">
        <f>Monatsabrechnung!L49*$D$5*(1+$D$6)</f>
        <v/>
      </c>
      <c r="AL22" s="40">
        <f>Monatsabrechnung!M49*$D$5*(1+$D$6)</f>
        <v/>
      </c>
      <c r="AM22" s="40">
        <f>Monatsabrechnung!N49*$D$5*(1+$D$6)</f>
        <v/>
      </c>
      <c r="AN22" s="40">
        <f>Monatsabrechnung!O49*$D$5*(1+$D$6)</f>
        <v/>
      </c>
      <c r="AO22" s="40">
        <f>Monatsabrechnung!P49*$D$5*(1+$D$6)</f>
        <v/>
      </c>
      <c r="AP22" s="28">
        <f>SUM(AD22:AO22)</f>
        <v/>
      </c>
      <c r="AQ22" s="59">
        <f>P22+AC22+AP22</f>
        <v/>
      </c>
    </row>
    <row r="23">
      <c r="A23" s="91">
        <f>Stammdaten!A23</f>
        <v/>
      </c>
      <c r="B23" s="73">
        <f>Stammdaten!B23</f>
        <v/>
      </c>
      <c r="C23" s="73">
        <f>Stammdaten!C23</f>
        <v/>
      </c>
      <c r="D23" s="40">
        <f>Monatsabrechnung!E52*$D$6</f>
        <v/>
      </c>
      <c r="E23" s="40">
        <f>Monatsabrechnung!F52*$D$6</f>
        <v/>
      </c>
      <c r="F23" s="40">
        <f>Monatsabrechnung!G52*$D$6</f>
        <v/>
      </c>
      <c r="G23" s="40">
        <f>Monatsabrechnung!H52*$D$6</f>
        <v/>
      </c>
      <c r="H23" s="40">
        <f>Monatsabrechnung!I52*$D$6</f>
        <v/>
      </c>
      <c r="I23" s="40">
        <f>Monatsabrechnung!J52*$D$6</f>
        <v/>
      </c>
      <c r="J23" s="40">
        <f>Monatsabrechnung!K52*$D$6</f>
        <v/>
      </c>
      <c r="K23" s="40">
        <f>Monatsabrechnung!L52*$D$6</f>
        <v/>
      </c>
      <c r="L23" s="40">
        <f>Monatsabrechnung!M52*$D$6</f>
        <v/>
      </c>
      <c r="M23" s="40">
        <f>Monatsabrechnung!N52*$D$6</f>
        <v/>
      </c>
      <c r="N23" s="40">
        <f>Monatsabrechnung!O52*$D$6</f>
        <v/>
      </c>
      <c r="O23" s="40">
        <f>Monatsabrechnung!P52*$D$6</f>
        <v/>
      </c>
      <c r="P23" s="28">
        <f>SUM(D23:O23)</f>
        <v/>
      </c>
      <c r="Q23" s="40">
        <f>Monatsabrechnung!E52*$D$4*(1+$D$6)</f>
        <v/>
      </c>
      <c r="R23" s="40">
        <f>Monatsabrechnung!F52*$D$4*(1+$D$6)</f>
        <v/>
      </c>
      <c r="S23" s="40">
        <f>Monatsabrechnung!G52*$D$4*(1+$D$6)</f>
        <v/>
      </c>
      <c r="T23" s="40">
        <f>Monatsabrechnung!H52*$D$4*(1+$D$6)</f>
        <v/>
      </c>
      <c r="U23" s="40">
        <f>Monatsabrechnung!I52*$D$4*(1+$D$6)</f>
        <v/>
      </c>
      <c r="V23" s="40">
        <f>Monatsabrechnung!J52*$D$4*(1+$D$6)</f>
        <v/>
      </c>
      <c r="W23" s="40">
        <f>Monatsabrechnung!K52*$D$4*(1+$D$6)</f>
        <v/>
      </c>
      <c r="X23" s="40">
        <f>Monatsabrechnung!L52*$D$4*(1+$D$6)</f>
        <v/>
      </c>
      <c r="Y23" s="40">
        <f>Monatsabrechnung!M52*$D$4*(1+$D$6)</f>
        <v/>
      </c>
      <c r="Z23" s="40">
        <f>Monatsabrechnung!N52*$D$4*(1+$D$6)</f>
        <v/>
      </c>
      <c r="AA23" s="40">
        <f>Monatsabrechnung!O52*$D$4*(1+$D$6)</f>
        <v/>
      </c>
      <c r="AB23" s="40">
        <f>Monatsabrechnung!P52*$D$4*(1+$D$6)</f>
        <v/>
      </c>
      <c r="AC23" s="28">
        <f>SUM(Q23:AB23)</f>
        <v/>
      </c>
      <c r="AD23" s="40">
        <f>Monatsabrechnung!E52*$D$5*(1+$D$6)</f>
        <v/>
      </c>
      <c r="AE23" s="40">
        <f>Monatsabrechnung!F52*$D$5*(1+$D$6)</f>
        <v/>
      </c>
      <c r="AF23" s="40">
        <f>Monatsabrechnung!G52*$D$5*(1+$D$6)</f>
        <v/>
      </c>
      <c r="AG23" s="40">
        <f>Monatsabrechnung!H52*$D$5*(1+$D$6)</f>
        <v/>
      </c>
      <c r="AH23" s="40">
        <f>Monatsabrechnung!I52*$D$5*(1+$D$6)</f>
        <v/>
      </c>
      <c r="AI23" s="40">
        <f>Monatsabrechnung!J52*$D$5*(1+$D$6)</f>
        <v/>
      </c>
      <c r="AJ23" s="40">
        <f>Monatsabrechnung!K52*$D$5*(1+$D$6)</f>
        <v/>
      </c>
      <c r="AK23" s="40">
        <f>Monatsabrechnung!L52*$D$5*(1+$D$6)</f>
        <v/>
      </c>
      <c r="AL23" s="40">
        <f>Monatsabrechnung!M52*$D$5*(1+$D$6)</f>
        <v/>
      </c>
      <c r="AM23" s="40">
        <f>Monatsabrechnung!N52*$D$5*(1+$D$6)</f>
        <v/>
      </c>
      <c r="AN23" s="40">
        <f>Monatsabrechnung!O52*$D$5*(1+$D$6)</f>
        <v/>
      </c>
      <c r="AO23" s="40">
        <f>Monatsabrechnung!P52*$D$5*(1+$D$6)</f>
        <v/>
      </c>
      <c r="AP23" s="28">
        <f>SUM(AD23:AO23)</f>
        <v/>
      </c>
      <c r="AQ23" s="59">
        <f>P23+AC23+AP23</f>
        <v/>
      </c>
    </row>
    <row r="24">
      <c r="A24" s="91">
        <f>Stammdaten!A24</f>
        <v/>
      </c>
      <c r="B24" s="73">
        <f>Stammdaten!B24</f>
        <v/>
      </c>
      <c r="C24" s="73">
        <f>Stammdaten!C24</f>
        <v/>
      </c>
      <c r="D24" s="40">
        <f>Monatsabrechnung!E55*$D$6</f>
        <v/>
      </c>
      <c r="E24" s="40">
        <f>Monatsabrechnung!F55*$D$6</f>
        <v/>
      </c>
      <c r="F24" s="40">
        <f>Monatsabrechnung!G55*$D$6</f>
        <v/>
      </c>
      <c r="G24" s="40">
        <f>Monatsabrechnung!H55*$D$6</f>
        <v/>
      </c>
      <c r="H24" s="40">
        <f>Monatsabrechnung!I55*$D$6</f>
        <v/>
      </c>
      <c r="I24" s="40">
        <f>Monatsabrechnung!J55*$D$6</f>
        <v/>
      </c>
      <c r="J24" s="40">
        <f>Monatsabrechnung!K55*$D$6</f>
        <v/>
      </c>
      <c r="K24" s="40">
        <f>Monatsabrechnung!L55*$D$6</f>
        <v/>
      </c>
      <c r="L24" s="40">
        <f>Monatsabrechnung!M55*$D$6</f>
        <v/>
      </c>
      <c r="M24" s="40">
        <f>Monatsabrechnung!N55*$D$6</f>
        <v/>
      </c>
      <c r="N24" s="40">
        <f>Monatsabrechnung!O55*$D$6</f>
        <v/>
      </c>
      <c r="O24" s="40">
        <f>Monatsabrechnung!P55*$D$6</f>
        <v/>
      </c>
      <c r="P24" s="28">
        <f>SUM(D24:O24)</f>
        <v/>
      </c>
      <c r="Q24" s="40">
        <f>Monatsabrechnung!E55*$D$4*(1+$D$6)</f>
        <v/>
      </c>
      <c r="R24" s="40">
        <f>Monatsabrechnung!F55*$D$4*(1+$D$6)</f>
        <v/>
      </c>
      <c r="S24" s="40">
        <f>Monatsabrechnung!G55*$D$4*(1+$D$6)</f>
        <v/>
      </c>
      <c r="T24" s="40">
        <f>Monatsabrechnung!H55*$D$4*(1+$D$6)</f>
        <v/>
      </c>
      <c r="U24" s="40">
        <f>Monatsabrechnung!I55*$D$4*(1+$D$6)</f>
        <v/>
      </c>
      <c r="V24" s="40">
        <f>Monatsabrechnung!J55*$D$4*(1+$D$6)</f>
        <v/>
      </c>
      <c r="W24" s="40">
        <f>Monatsabrechnung!K55*$D$4*(1+$D$6)</f>
        <v/>
      </c>
      <c r="X24" s="40">
        <f>Monatsabrechnung!L55*$D$4*(1+$D$6)</f>
        <v/>
      </c>
      <c r="Y24" s="40">
        <f>Monatsabrechnung!M55*$D$4*(1+$D$6)</f>
        <v/>
      </c>
      <c r="Z24" s="40">
        <f>Monatsabrechnung!N55*$D$4*(1+$D$6)</f>
        <v/>
      </c>
      <c r="AA24" s="40">
        <f>Monatsabrechnung!O55*$D$4*(1+$D$6)</f>
        <v/>
      </c>
      <c r="AB24" s="40">
        <f>Monatsabrechnung!P55*$D$4*(1+$D$6)</f>
        <v/>
      </c>
      <c r="AC24" s="28">
        <f>SUM(Q24:AB24)</f>
        <v/>
      </c>
      <c r="AD24" s="40">
        <f>Monatsabrechnung!E55*$D$5*(1+$D$6)</f>
        <v/>
      </c>
      <c r="AE24" s="40">
        <f>Monatsabrechnung!F55*$D$5*(1+$D$6)</f>
        <v/>
      </c>
      <c r="AF24" s="40">
        <f>Monatsabrechnung!G55*$D$5*(1+$D$6)</f>
        <v/>
      </c>
      <c r="AG24" s="40">
        <f>Monatsabrechnung!H55*$D$5*(1+$D$6)</f>
        <v/>
      </c>
      <c r="AH24" s="40">
        <f>Monatsabrechnung!I55*$D$5*(1+$D$6)</f>
        <v/>
      </c>
      <c r="AI24" s="40">
        <f>Monatsabrechnung!J55*$D$5*(1+$D$6)</f>
        <v/>
      </c>
      <c r="AJ24" s="40">
        <f>Monatsabrechnung!K55*$D$5*(1+$D$6)</f>
        <v/>
      </c>
      <c r="AK24" s="40">
        <f>Monatsabrechnung!L55*$D$5*(1+$D$6)</f>
        <v/>
      </c>
      <c r="AL24" s="40">
        <f>Monatsabrechnung!M55*$D$5*(1+$D$6)</f>
        <v/>
      </c>
      <c r="AM24" s="40">
        <f>Monatsabrechnung!N55*$D$5*(1+$D$6)</f>
        <v/>
      </c>
      <c r="AN24" s="40">
        <f>Monatsabrechnung!O55*$D$5*(1+$D$6)</f>
        <v/>
      </c>
      <c r="AO24" s="40">
        <f>Monatsabrechnung!P55*$D$5*(1+$D$6)</f>
        <v/>
      </c>
      <c r="AP24" s="28">
        <f>SUM(AD24:AO24)</f>
        <v/>
      </c>
      <c r="AQ24" s="59">
        <f>P24+AC24+AP24</f>
        <v/>
      </c>
    </row>
    <row r="25">
      <c r="A25" s="91">
        <f>Stammdaten!A25</f>
        <v/>
      </c>
      <c r="B25" s="73">
        <f>Stammdaten!B25</f>
        <v/>
      </c>
      <c r="C25" s="73">
        <f>Stammdaten!C25</f>
        <v/>
      </c>
      <c r="D25" s="40">
        <f>Monatsabrechnung!E58*$D$6</f>
        <v/>
      </c>
      <c r="E25" s="40">
        <f>Monatsabrechnung!F58*$D$6</f>
        <v/>
      </c>
      <c r="F25" s="40">
        <f>Monatsabrechnung!G58*$D$6</f>
        <v/>
      </c>
      <c r="G25" s="40">
        <f>Monatsabrechnung!H58*$D$6</f>
        <v/>
      </c>
      <c r="H25" s="40">
        <f>Monatsabrechnung!I58*$D$6</f>
        <v/>
      </c>
      <c r="I25" s="40">
        <f>Monatsabrechnung!J58*$D$6</f>
        <v/>
      </c>
      <c r="J25" s="40">
        <f>Monatsabrechnung!K58*$D$6</f>
        <v/>
      </c>
      <c r="K25" s="40">
        <f>Monatsabrechnung!L58*$D$6</f>
        <v/>
      </c>
      <c r="L25" s="40">
        <f>Monatsabrechnung!M58*$D$6</f>
        <v/>
      </c>
      <c r="M25" s="40">
        <f>Monatsabrechnung!N58*$D$6</f>
        <v/>
      </c>
      <c r="N25" s="40">
        <f>Monatsabrechnung!O58*$D$6</f>
        <v/>
      </c>
      <c r="O25" s="40">
        <f>Monatsabrechnung!P58*$D$6</f>
        <v/>
      </c>
      <c r="P25" s="28">
        <f>SUM(D25:O25)</f>
        <v/>
      </c>
      <c r="Q25" s="40">
        <f>Monatsabrechnung!E58*$D$4*(1+$D$6)</f>
        <v/>
      </c>
      <c r="R25" s="40">
        <f>Monatsabrechnung!F58*$D$4*(1+$D$6)</f>
        <v/>
      </c>
      <c r="S25" s="40">
        <f>Monatsabrechnung!G58*$D$4*(1+$D$6)</f>
        <v/>
      </c>
      <c r="T25" s="40">
        <f>Monatsabrechnung!H58*$D$4*(1+$D$6)</f>
        <v/>
      </c>
      <c r="U25" s="40">
        <f>Monatsabrechnung!I58*$D$4*(1+$D$6)</f>
        <v/>
      </c>
      <c r="V25" s="40">
        <f>Monatsabrechnung!J58*$D$4*(1+$D$6)</f>
        <v/>
      </c>
      <c r="W25" s="40">
        <f>Monatsabrechnung!K58*$D$4*(1+$D$6)</f>
        <v/>
      </c>
      <c r="X25" s="40">
        <f>Monatsabrechnung!L58*$D$4*(1+$D$6)</f>
        <v/>
      </c>
      <c r="Y25" s="40">
        <f>Monatsabrechnung!M58*$D$4*(1+$D$6)</f>
        <v/>
      </c>
      <c r="Z25" s="40">
        <f>Monatsabrechnung!N58*$D$4*(1+$D$6)</f>
        <v/>
      </c>
      <c r="AA25" s="40">
        <f>Monatsabrechnung!O58*$D$4*(1+$D$6)</f>
        <v/>
      </c>
      <c r="AB25" s="40">
        <f>Monatsabrechnung!P58*$D$4*(1+$D$6)</f>
        <v/>
      </c>
      <c r="AC25" s="28">
        <f>SUM(Q25:AB25)</f>
        <v/>
      </c>
      <c r="AD25" s="40">
        <f>Monatsabrechnung!E58*$D$5*(1+$D$6)</f>
        <v/>
      </c>
      <c r="AE25" s="40">
        <f>Monatsabrechnung!F58*$D$5*(1+$D$6)</f>
        <v/>
      </c>
      <c r="AF25" s="40">
        <f>Monatsabrechnung!G58*$D$5*(1+$D$6)</f>
        <v/>
      </c>
      <c r="AG25" s="40">
        <f>Monatsabrechnung!H58*$D$5*(1+$D$6)</f>
        <v/>
      </c>
      <c r="AH25" s="40">
        <f>Monatsabrechnung!I58*$D$5*(1+$D$6)</f>
        <v/>
      </c>
      <c r="AI25" s="40">
        <f>Monatsabrechnung!J58*$D$5*(1+$D$6)</f>
        <v/>
      </c>
      <c r="AJ25" s="40">
        <f>Monatsabrechnung!K58*$D$5*(1+$D$6)</f>
        <v/>
      </c>
      <c r="AK25" s="40">
        <f>Monatsabrechnung!L58*$D$5*(1+$D$6)</f>
        <v/>
      </c>
      <c r="AL25" s="40">
        <f>Monatsabrechnung!M58*$D$5*(1+$D$6)</f>
        <v/>
      </c>
      <c r="AM25" s="40">
        <f>Monatsabrechnung!N58*$D$5*(1+$D$6)</f>
        <v/>
      </c>
      <c r="AN25" s="40">
        <f>Monatsabrechnung!O58*$D$5*(1+$D$6)</f>
        <v/>
      </c>
      <c r="AO25" s="40">
        <f>Monatsabrechnung!P58*$D$5*(1+$D$6)</f>
        <v/>
      </c>
      <c r="AP25" s="28">
        <f>SUM(AD25:AO25)</f>
        <v/>
      </c>
      <c r="AQ25" s="59">
        <f>P25+AC25+AP25</f>
        <v/>
      </c>
    </row>
    <row r="26">
      <c r="A26" s="91">
        <f>Stammdaten!A26</f>
        <v/>
      </c>
      <c r="B26" s="73">
        <f>Stammdaten!B26</f>
        <v/>
      </c>
      <c r="C26" s="73">
        <f>Stammdaten!C26</f>
        <v/>
      </c>
      <c r="D26" s="40">
        <f>Monatsabrechnung!E61*$D$6</f>
        <v/>
      </c>
      <c r="E26" s="40">
        <f>Monatsabrechnung!F61*$D$6</f>
        <v/>
      </c>
      <c r="F26" s="40">
        <f>Monatsabrechnung!G61*$D$6</f>
        <v/>
      </c>
      <c r="G26" s="40">
        <f>Monatsabrechnung!H61*$D$6</f>
        <v/>
      </c>
      <c r="H26" s="40">
        <f>Monatsabrechnung!I61*$D$6</f>
        <v/>
      </c>
      <c r="I26" s="40">
        <f>Monatsabrechnung!J61*$D$6</f>
        <v/>
      </c>
      <c r="J26" s="40">
        <f>Monatsabrechnung!K61*$D$6</f>
        <v/>
      </c>
      <c r="K26" s="40">
        <f>Monatsabrechnung!L61*$D$6</f>
        <v/>
      </c>
      <c r="L26" s="40">
        <f>Monatsabrechnung!M61*$D$6</f>
        <v/>
      </c>
      <c r="M26" s="40">
        <f>Monatsabrechnung!N61*$D$6</f>
        <v/>
      </c>
      <c r="N26" s="40">
        <f>Monatsabrechnung!O61*$D$6</f>
        <v/>
      </c>
      <c r="O26" s="40">
        <f>Monatsabrechnung!P61*$D$6</f>
        <v/>
      </c>
      <c r="P26" s="28">
        <f>SUM(D26:O26)</f>
        <v/>
      </c>
      <c r="Q26" s="40">
        <f>Monatsabrechnung!E61*$D$4*(1+$D$6)</f>
        <v/>
      </c>
      <c r="R26" s="40">
        <f>Monatsabrechnung!F61*$D$4*(1+$D$6)</f>
        <v/>
      </c>
      <c r="S26" s="40">
        <f>Monatsabrechnung!G61*$D$4*(1+$D$6)</f>
        <v/>
      </c>
      <c r="T26" s="40">
        <f>Monatsabrechnung!H61*$D$4*(1+$D$6)</f>
        <v/>
      </c>
      <c r="U26" s="40">
        <f>Monatsabrechnung!I61*$D$4*(1+$D$6)</f>
        <v/>
      </c>
      <c r="V26" s="40">
        <f>Monatsabrechnung!J61*$D$4*(1+$D$6)</f>
        <v/>
      </c>
      <c r="W26" s="40">
        <f>Monatsabrechnung!K61*$D$4*(1+$D$6)</f>
        <v/>
      </c>
      <c r="X26" s="40">
        <f>Monatsabrechnung!L61*$D$4*(1+$D$6)</f>
        <v/>
      </c>
      <c r="Y26" s="40">
        <f>Monatsabrechnung!M61*$D$4*(1+$D$6)</f>
        <v/>
      </c>
      <c r="Z26" s="40">
        <f>Monatsabrechnung!N61*$D$4*(1+$D$6)</f>
        <v/>
      </c>
      <c r="AA26" s="40">
        <f>Monatsabrechnung!O61*$D$4*(1+$D$6)</f>
        <v/>
      </c>
      <c r="AB26" s="40">
        <f>Monatsabrechnung!P61*$D$4*(1+$D$6)</f>
        <v/>
      </c>
      <c r="AC26" s="28">
        <f>SUM(Q26:AB26)</f>
        <v/>
      </c>
      <c r="AD26" s="40">
        <f>Monatsabrechnung!E61*$D$5*(1+$D$6)</f>
        <v/>
      </c>
      <c r="AE26" s="40">
        <f>Monatsabrechnung!F61*$D$5*(1+$D$6)</f>
        <v/>
      </c>
      <c r="AF26" s="40">
        <f>Monatsabrechnung!G61*$D$5*(1+$D$6)</f>
        <v/>
      </c>
      <c r="AG26" s="40">
        <f>Monatsabrechnung!H61*$D$5*(1+$D$6)</f>
        <v/>
      </c>
      <c r="AH26" s="40">
        <f>Monatsabrechnung!I61*$D$5*(1+$D$6)</f>
        <v/>
      </c>
      <c r="AI26" s="40">
        <f>Monatsabrechnung!J61*$D$5*(1+$D$6)</f>
        <v/>
      </c>
      <c r="AJ26" s="40">
        <f>Monatsabrechnung!K61*$D$5*(1+$D$6)</f>
        <v/>
      </c>
      <c r="AK26" s="40">
        <f>Monatsabrechnung!L61*$D$5*(1+$D$6)</f>
        <v/>
      </c>
      <c r="AL26" s="40">
        <f>Monatsabrechnung!M61*$D$5*(1+$D$6)</f>
        <v/>
      </c>
      <c r="AM26" s="40">
        <f>Monatsabrechnung!N61*$D$5*(1+$D$6)</f>
        <v/>
      </c>
      <c r="AN26" s="40">
        <f>Monatsabrechnung!O61*$D$5*(1+$D$6)</f>
        <v/>
      </c>
      <c r="AO26" s="40">
        <f>Monatsabrechnung!P61*$D$5*(1+$D$6)</f>
        <v/>
      </c>
      <c r="AP26" s="28">
        <f>SUM(AD26:AO26)</f>
        <v/>
      </c>
      <c r="AQ26" s="59">
        <f>P26+AC26+AP26</f>
        <v/>
      </c>
    </row>
    <row r="27">
      <c r="A27" s="91">
        <f>Stammdaten!A27</f>
        <v/>
      </c>
      <c r="B27" s="73">
        <f>Stammdaten!B27</f>
        <v/>
      </c>
      <c r="C27" s="73">
        <f>Stammdaten!C27</f>
        <v/>
      </c>
      <c r="D27" s="40">
        <f>Monatsabrechnung!E64*$D$6</f>
        <v/>
      </c>
      <c r="E27" s="40">
        <f>Monatsabrechnung!F64*$D$6</f>
        <v/>
      </c>
      <c r="F27" s="40">
        <f>Monatsabrechnung!G64*$D$6</f>
        <v/>
      </c>
      <c r="G27" s="40">
        <f>Monatsabrechnung!H64*$D$6</f>
        <v/>
      </c>
      <c r="H27" s="40">
        <f>Monatsabrechnung!I64*$D$6</f>
        <v/>
      </c>
      <c r="I27" s="40">
        <f>Monatsabrechnung!J64*$D$6</f>
        <v/>
      </c>
      <c r="J27" s="40">
        <f>Monatsabrechnung!K64*$D$6</f>
        <v/>
      </c>
      <c r="K27" s="40">
        <f>Monatsabrechnung!L64*$D$6</f>
        <v/>
      </c>
      <c r="L27" s="40">
        <f>Monatsabrechnung!M64*$D$6</f>
        <v/>
      </c>
      <c r="M27" s="40">
        <f>Monatsabrechnung!N64*$D$6</f>
        <v/>
      </c>
      <c r="N27" s="40">
        <f>Monatsabrechnung!O64*$D$6</f>
        <v/>
      </c>
      <c r="O27" s="40">
        <f>Monatsabrechnung!P64*$D$6</f>
        <v/>
      </c>
      <c r="P27" s="28">
        <f>SUM(D27:O27)</f>
        <v/>
      </c>
      <c r="Q27" s="40">
        <f>Monatsabrechnung!E64*$D$4*(1+$D$6)</f>
        <v/>
      </c>
      <c r="R27" s="40">
        <f>Monatsabrechnung!F64*$D$4*(1+$D$6)</f>
        <v/>
      </c>
      <c r="S27" s="40">
        <f>Monatsabrechnung!G64*$D$4*(1+$D$6)</f>
        <v/>
      </c>
      <c r="T27" s="40">
        <f>Monatsabrechnung!H64*$D$4*(1+$D$6)</f>
        <v/>
      </c>
      <c r="U27" s="40">
        <f>Monatsabrechnung!I64*$D$4*(1+$D$6)</f>
        <v/>
      </c>
      <c r="V27" s="40">
        <f>Monatsabrechnung!J64*$D$4*(1+$D$6)</f>
        <v/>
      </c>
      <c r="W27" s="40">
        <f>Monatsabrechnung!K64*$D$4*(1+$D$6)</f>
        <v/>
      </c>
      <c r="X27" s="40">
        <f>Monatsabrechnung!L64*$D$4*(1+$D$6)</f>
        <v/>
      </c>
      <c r="Y27" s="40">
        <f>Monatsabrechnung!M64*$D$4*(1+$D$6)</f>
        <v/>
      </c>
      <c r="Z27" s="40">
        <f>Monatsabrechnung!N64*$D$4*(1+$D$6)</f>
        <v/>
      </c>
      <c r="AA27" s="40">
        <f>Monatsabrechnung!O64*$D$4*(1+$D$6)</f>
        <v/>
      </c>
      <c r="AB27" s="40">
        <f>Monatsabrechnung!P64*$D$4*(1+$D$6)</f>
        <v/>
      </c>
      <c r="AC27" s="28">
        <f>SUM(Q27:AB27)</f>
        <v/>
      </c>
      <c r="AD27" s="40">
        <f>Monatsabrechnung!E64*$D$5*(1+$D$6)</f>
        <v/>
      </c>
      <c r="AE27" s="40">
        <f>Monatsabrechnung!F64*$D$5*(1+$D$6)</f>
        <v/>
      </c>
      <c r="AF27" s="40">
        <f>Monatsabrechnung!G64*$D$5*(1+$D$6)</f>
        <v/>
      </c>
      <c r="AG27" s="40">
        <f>Monatsabrechnung!H64*$D$5*(1+$D$6)</f>
        <v/>
      </c>
      <c r="AH27" s="40">
        <f>Monatsabrechnung!I64*$D$5*(1+$D$6)</f>
        <v/>
      </c>
      <c r="AI27" s="40">
        <f>Monatsabrechnung!J64*$D$5*(1+$D$6)</f>
        <v/>
      </c>
      <c r="AJ27" s="40">
        <f>Monatsabrechnung!K64*$D$5*(1+$D$6)</f>
        <v/>
      </c>
      <c r="AK27" s="40">
        <f>Monatsabrechnung!L64*$D$5*(1+$D$6)</f>
        <v/>
      </c>
      <c r="AL27" s="40">
        <f>Monatsabrechnung!M64*$D$5*(1+$D$6)</f>
        <v/>
      </c>
      <c r="AM27" s="40">
        <f>Monatsabrechnung!N64*$D$5*(1+$D$6)</f>
        <v/>
      </c>
      <c r="AN27" s="40">
        <f>Monatsabrechnung!O64*$D$5*(1+$D$6)</f>
        <v/>
      </c>
      <c r="AO27" s="40">
        <f>Monatsabrechnung!P64*$D$5*(1+$D$6)</f>
        <v/>
      </c>
      <c r="AP27" s="28">
        <f>SUM(AD27:AO27)</f>
        <v/>
      </c>
      <c r="AQ27" s="59">
        <f>P27+AC27+AP27</f>
        <v/>
      </c>
    </row>
    <row r="28">
      <c r="A28" s="91">
        <f>Stammdaten!A28</f>
        <v/>
      </c>
      <c r="B28" s="73">
        <f>Stammdaten!B28</f>
        <v/>
      </c>
      <c r="C28" s="73">
        <f>Stammdaten!C28</f>
        <v/>
      </c>
      <c r="D28" s="40">
        <f>Monatsabrechnung!E67*$D$6</f>
        <v/>
      </c>
      <c r="E28" s="40">
        <f>Monatsabrechnung!F67*$D$6</f>
        <v/>
      </c>
      <c r="F28" s="40">
        <f>Monatsabrechnung!G67*$D$6</f>
        <v/>
      </c>
      <c r="G28" s="40">
        <f>Monatsabrechnung!H67*$D$6</f>
        <v/>
      </c>
      <c r="H28" s="40">
        <f>Monatsabrechnung!I67*$D$6</f>
        <v/>
      </c>
      <c r="I28" s="40">
        <f>Monatsabrechnung!J67*$D$6</f>
        <v/>
      </c>
      <c r="J28" s="40">
        <f>Monatsabrechnung!K67*$D$6</f>
        <v/>
      </c>
      <c r="K28" s="40">
        <f>Monatsabrechnung!L67*$D$6</f>
        <v/>
      </c>
      <c r="L28" s="40">
        <f>Monatsabrechnung!M67*$D$6</f>
        <v/>
      </c>
      <c r="M28" s="40">
        <f>Monatsabrechnung!N67*$D$6</f>
        <v/>
      </c>
      <c r="N28" s="40">
        <f>Monatsabrechnung!O67*$D$6</f>
        <v/>
      </c>
      <c r="O28" s="40">
        <f>Monatsabrechnung!P67*$D$6</f>
        <v/>
      </c>
      <c r="P28" s="28">
        <f>SUM(D28:O28)</f>
        <v/>
      </c>
      <c r="Q28" s="40">
        <f>Monatsabrechnung!E67*$D$4*(1+$D$6)</f>
        <v/>
      </c>
      <c r="R28" s="40">
        <f>Monatsabrechnung!F67*$D$4*(1+$D$6)</f>
        <v/>
      </c>
      <c r="S28" s="40">
        <f>Monatsabrechnung!G67*$D$4*(1+$D$6)</f>
        <v/>
      </c>
      <c r="T28" s="40">
        <f>Monatsabrechnung!H67*$D$4*(1+$D$6)</f>
        <v/>
      </c>
      <c r="U28" s="40">
        <f>Monatsabrechnung!I67*$D$4*(1+$D$6)</f>
        <v/>
      </c>
      <c r="V28" s="40">
        <f>Monatsabrechnung!J67*$D$4*(1+$D$6)</f>
        <v/>
      </c>
      <c r="W28" s="40">
        <f>Monatsabrechnung!K67*$D$4*(1+$D$6)</f>
        <v/>
      </c>
      <c r="X28" s="40">
        <f>Monatsabrechnung!L67*$D$4*(1+$D$6)</f>
        <v/>
      </c>
      <c r="Y28" s="40">
        <f>Monatsabrechnung!M67*$D$4*(1+$D$6)</f>
        <v/>
      </c>
      <c r="Z28" s="40">
        <f>Monatsabrechnung!N67*$D$4*(1+$D$6)</f>
        <v/>
      </c>
      <c r="AA28" s="40">
        <f>Monatsabrechnung!O67*$D$4*(1+$D$6)</f>
        <v/>
      </c>
      <c r="AB28" s="40">
        <f>Monatsabrechnung!P67*$D$4*(1+$D$6)</f>
        <v/>
      </c>
      <c r="AC28" s="28">
        <f>SUM(Q28:AB28)</f>
        <v/>
      </c>
      <c r="AD28" s="40">
        <f>Monatsabrechnung!E67*$D$5*(1+$D$6)</f>
        <v/>
      </c>
      <c r="AE28" s="40">
        <f>Monatsabrechnung!F67*$D$5*(1+$D$6)</f>
        <v/>
      </c>
      <c r="AF28" s="40">
        <f>Monatsabrechnung!G67*$D$5*(1+$D$6)</f>
        <v/>
      </c>
      <c r="AG28" s="40">
        <f>Monatsabrechnung!H67*$D$5*(1+$D$6)</f>
        <v/>
      </c>
      <c r="AH28" s="40">
        <f>Monatsabrechnung!I67*$D$5*(1+$D$6)</f>
        <v/>
      </c>
      <c r="AI28" s="40">
        <f>Monatsabrechnung!J67*$D$5*(1+$D$6)</f>
        <v/>
      </c>
      <c r="AJ28" s="40">
        <f>Monatsabrechnung!K67*$D$5*(1+$D$6)</f>
        <v/>
      </c>
      <c r="AK28" s="40">
        <f>Monatsabrechnung!L67*$D$5*(1+$D$6)</f>
        <v/>
      </c>
      <c r="AL28" s="40">
        <f>Monatsabrechnung!M67*$D$5*(1+$D$6)</f>
        <v/>
      </c>
      <c r="AM28" s="40">
        <f>Monatsabrechnung!N67*$D$5*(1+$D$6)</f>
        <v/>
      </c>
      <c r="AN28" s="40">
        <f>Monatsabrechnung!O67*$D$5*(1+$D$6)</f>
        <v/>
      </c>
      <c r="AO28" s="40">
        <f>Monatsabrechnung!P67*$D$5*(1+$D$6)</f>
        <v/>
      </c>
      <c r="AP28" s="28">
        <f>SUM(AD28:AO28)</f>
        <v/>
      </c>
      <c r="AQ28" s="59">
        <f>P28+AC28+AP28</f>
        <v/>
      </c>
    </row>
    <row r="29">
      <c r="A29" s="89">
        <f>Stammdaten!A29</f>
        <v/>
      </c>
      <c r="B29" s="67">
        <f>Stammdaten!B29</f>
        <v/>
      </c>
      <c r="C29" s="67">
        <f>Stammdaten!C29</f>
        <v/>
      </c>
      <c r="D29" s="40">
        <f>Monatsabrechnung!E70*$D$6</f>
        <v/>
      </c>
      <c r="E29" s="40">
        <f>Monatsabrechnung!F70*$D$6</f>
        <v/>
      </c>
      <c r="F29" s="40">
        <f>Monatsabrechnung!G70*$D$6</f>
        <v/>
      </c>
      <c r="G29" s="40">
        <f>Monatsabrechnung!H70*$D$6</f>
        <v/>
      </c>
      <c r="H29" s="40">
        <f>Monatsabrechnung!I70*$D$6</f>
        <v/>
      </c>
      <c r="I29" s="40">
        <f>Monatsabrechnung!J70*$D$6</f>
        <v/>
      </c>
      <c r="J29" s="40">
        <f>Monatsabrechnung!K70*$D$6</f>
        <v/>
      </c>
      <c r="K29" s="40">
        <f>Monatsabrechnung!L70*$D$6</f>
        <v/>
      </c>
      <c r="L29" s="40">
        <f>Monatsabrechnung!M70*$D$6</f>
        <v/>
      </c>
      <c r="M29" s="40">
        <f>Monatsabrechnung!N70*$D$6</f>
        <v/>
      </c>
      <c r="N29" s="40">
        <f>Monatsabrechnung!O70*$D$6</f>
        <v/>
      </c>
      <c r="O29" s="40">
        <f>Monatsabrechnung!P70*$D$6</f>
        <v/>
      </c>
      <c r="P29" s="28">
        <f>SUM(D29:O29)</f>
        <v/>
      </c>
      <c r="Q29" s="40">
        <f>Monatsabrechnung!E70*$D$4*(1+$D$6)</f>
        <v/>
      </c>
      <c r="R29" s="40">
        <f>Monatsabrechnung!F70*$D$4*(1+$D$6)</f>
        <v/>
      </c>
      <c r="S29" s="40">
        <f>Monatsabrechnung!G70*$D$4*(1+$D$6)</f>
        <v/>
      </c>
      <c r="T29" s="40">
        <f>Monatsabrechnung!H70*$D$4*(1+$D$6)</f>
        <v/>
      </c>
      <c r="U29" s="40">
        <f>Monatsabrechnung!I70*$D$4*(1+$D$6)</f>
        <v/>
      </c>
      <c r="V29" s="40">
        <f>Monatsabrechnung!J70*$D$4*(1+$D$6)</f>
        <v/>
      </c>
      <c r="W29" s="40">
        <f>Monatsabrechnung!K70*$D$4*(1+$D$6)</f>
        <v/>
      </c>
      <c r="X29" s="40">
        <f>Monatsabrechnung!L70*$D$4*(1+$D$6)</f>
        <v/>
      </c>
      <c r="Y29" s="40">
        <f>Monatsabrechnung!M70*$D$4*(1+$D$6)</f>
        <v/>
      </c>
      <c r="Z29" s="40">
        <f>Monatsabrechnung!N70*$D$4*(1+$D$6)</f>
        <v/>
      </c>
      <c r="AA29" s="40">
        <f>Monatsabrechnung!O70*$D$4*(1+$D$6)</f>
        <v/>
      </c>
      <c r="AB29" s="40">
        <f>Monatsabrechnung!P70*$D$4*(1+$D$6)</f>
        <v/>
      </c>
      <c r="AC29" s="28">
        <f>SUM(Q29:AB29)</f>
        <v/>
      </c>
      <c r="AD29" s="40">
        <f>Monatsabrechnung!E70*$D$5*(1+$D$6)</f>
        <v/>
      </c>
      <c r="AE29" s="40">
        <f>Monatsabrechnung!F70*$D$5*(1+$D$6)</f>
        <v/>
      </c>
      <c r="AF29" s="40">
        <f>Monatsabrechnung!G70*$D$5*(1+$D$6)</f>
        <v/>
      </c>
      <c r="AG29" s="40">
        <f>Monatsabrechnung!H70*$D$5*(1+$D$6)</f>
        <v/>
      </c>
      <c r="AH29" s="40">
        <f>Monatsabrechnung!I70*$D$5*(1+$D$6)</f>
        <v/>
      </c>
      <c r="AI29" s="40">
        <f>Monatsabrechnung!J70*$D$5*(1+$D$6)</f>
        <v/>
      </c>
      <c r="AJ29" s="40">
        <f>Monatsabrechnung!K70*$D$5*(1+$D$6)</f>
        <v/>
      </c>
      <c r="AK29" s="40">
        <f>Monatsabrechnung!L70*$D$5*(1+$D$6)</f>
        <v/>
      </c>
      <c r="AL29" s="40">
        <f>Monatsabrechnung!M70*$D$5*(1+$D$6)</f>
        <v/>
      </c>
      <c r="AM29" s="40">
        <f>Monatsabrechnung!N70*$D$5*(1+$D$6)</f>
        <v/>
      </c>
      <c r="AN29" s="40">
        <f>Monatsabrechnung!O70*$D$5*(1+$D$6)</f>
        <v/>
      </c>
      <c r="AO29" s="40">
        <f>Monatsabrechnung!P70*$D$5*(1+$D$6)</f>
        <v/>
      </c>
      <c r="AP29" s="28">
        <f>SUM(AD29:AO29)</f>
        <v/>
      </c>
      <c r="AQ29" s="59">
        <f>P29+AC29+AP29</f>
        <v/>
      </c>
    </row>
    <row r="30">
      <c r="A30" s="89">
        <f>Stammdaten!A30</f>
        <v/>
      </c>
      <c r="B30" s="67">
        <f>Stammdaten!B30</f>
        <v/>
      </c>
      <c r="C30" s="67">
        <f>Stammdaten!C30</f>
        <v/>
      </c>
      <c r="D30" s="40">
        <f>Monatsabrechnung!E73*$D$6</f>
        <v/>
      </c>
      <c r="E30" s="40">
        <f>Monatsabrechnung!F73*$D$6</f>
        <v/>
      </c>
      <c r="F30" s="40">
        <f>Monatsabrechnung!G73*$D$6</f>
        <v/>
      </c>
      <c r="G30" s="40">
        <f>Monatsabrechnung!H73*$D$6</f>
        <v/>
      </c>
      <c r="H30" s="40">
        <f>Monatsabrechnung!I73*$D$6</f>
        <v/>
      </c>
      <c r="I30" s="40">
        <f>Monatsabrechnung!J73*$D$6</f>
        <v/>
      </c>
      <c r="J30" s="40">
        <f>Monatsabrechnung!K73*$D$6</f>
        <v/>
      </c>
      <c r="K30" s="40">
        <f>Monatsabrechnung!L73*$D$6</f>
        <v/>
      </c>
      <c r="L30" s="40">
        <f>Monatsabrechnung!M73*$D$6</f>
        <v/>
      </c>
      <c r="M30" s="40">
        <f>Monatsabrechnung!N73*$D$6</f>
        <v/>
      </c>
      <c r="N30" s="40">
        <f>Monatsabrechnung!O73*$D$6</f>
        <v/>
      </c>
      <c r="O30" s="40">
        <f>Monatsabrechnung!P73*$D$6</f>
        <v/>
      </c>
      <c r="P30" s="28">
        <f>SUM(D30:O30)</f>
        <v/>
      </c>
      <c r="Q30" s="40">
        <f>Monatsabrechnung!E73*$D$4*(1+$D$6)</f>
        <v/>
      </c>
      <c r="R30" s="40">
        <f>Monatsabrechnung!F73*$D$4*(1+$D$6)</f>
        <v/>
      </c>
      <c r="S30" s="40">
        <f>Monatsabrechnung!G73*$D$4*(1+$D$6)</f>
        <v/>
      </c>
      <c r="T30" s="40">
        <f>Monatsabrechnung!H73*$D$4*(1+$D$6)</f>
        <v/>
      </c>
      <c r="U30" s="40">
        <f>Monatsabrechnung!I73*$D$4*(1+$D$6)</f>
        <v/>
      </c>
      <c r="V30" s="40">
        <f>Monatsabrechnung!J73*$D$4*(1+$D$6)</f>
        <v/>
      </c>
      <c r="W30" s="40">
        <f>Monatsabrechnung!K73*$D$4*(1+$D$6)</f>
        <v/>
      </c>
      <c r="X30" s="40">
        <f>Monatsabrechnung!L73*$D$4*(1+$D$6)</f>
        <v/>
      </c>
      <c r="Y30" s="40">
        <f>Monatsabrechnung!M73*$D$4*(1+$D$6)</f>
        <v/>
      </c>
      <c r="Z30" s="40">
        <f>Monatsabrechnung!N73*$D$4*(1+$D$6)</f>
        <v/>
      </c>
      <c r="AA30" s="40">
        <f>Monatsabrechnung!O73*$D$4*(1+$D$6)</f>
        <v/>
      </c>
      <c r="AB30" s="40">
        <f>Monatsabrechnung!P73*$D$4*(1+$D$6)</f>
        <v/>
      </c>
      <c r="AC30" s="28">
        <f>SUM(Q30:AB30)</f>
        <v/>
      </c>
      <c r="AD30" s="40">
        <f>Monatsabrechnung!E73*$D$5*(1+$D$6)</f>
        <v/>
      </c>
      <c r="AE30" s="40">
        <f>Monatsabrechnung!F73*$D$5*(1+$D$6)</f>
        <v/>
      </c>
      <c r="AF30" s="40">
        <f>Monatsabrechnung!G73*$D$5*(1+$D$6)</f>
        <v/>
      </c>
      <c r="AG30" s="40">
        <f>Monatsabrechnung!H73*$D$5*(1+$D$6)</f>
        <v/>
      </c>
      <c r="AH30" s="40">
        <f>Monatsabrechnung!I73*$D$5*(1+$D$6)</f>
        <v/>
      </c>
      <c r="AI30" s="40">
        <f>Monatsabrechnung!J73*$D$5*(1+$D$6)</f>
        <v/>
      </c>
      <c r="AJ30" s="40">
        <f>Monatsabrechnung!K73*$D$5*(1+$D$6)</f>
        <v/>
      </c>
      <c r="AK30" s="40">
        <f>Monatsabrechnung!L73*$D$5*(1+$D$6)</f>
        <v/>
      </c>
      <c r="AL30" s="40">
        <f>Monatsabrechnung!M73*$D$5*(1+$D$6)</f>
        <v/>
      </c>
      <c r="AM30" s="40">
        <f>Monatsabrechnung!N73*$D$5*(1+$D$6)</f>
        <v/>
      </c>
      <c r="AN30" s="40">
        <f>Monatsabrechnung!O73*$D$5*(1+$D$6)</f>
        <v/>
      </c>
      <c r="AO30" s="40">
        <f>Monatsabrechnung!P73*$D$5*(1+$D$6)</f>
        <v/>
      </c>
      <c r="AP30" s="28">
        <f>SUM(AD30:AO30)</f>
        <v/>
      </c>
      <c r="AQ30" s="59">
        <f>P30+AC30+AP30</f>
        <v/>
      </c>
    </row>
    <row r="31">
      <c r="A31" s="89">
        <f>Stammdaten!A31</f>
        <v/>
      </c>
      <c r="B31" s="67">
        <f>Stammdaten!B31</f>
        <v/>
      </c>
      <c r="C31" s="67">
        <f>Stammdaten!C31</f>
        <v/>
      </c>
      <c r="D31" s="40">
        <f>Monatsabrechnung!E76*$D$6</f>
        <v/>
      </c>
      <c r="E31" s="40">
        <f>Monatsabrechnung!F76*$D$6</f>
        <v/>
      </c>
      <c r="F31" s="40">
        <f>Monatsabrechnung!G76*$D$6</f>
        <v/>
      </c>
      <c r="G31" s="40">
        <f>Monatsabrechnung!H76*$D$6</f>
        <v/>
      </c>
      <c r="H31" s="40">
        <f>Monatsabrechnung!I76*$D$6</f>
        <v/>
      </c>
      <c r="I31" s="40">
        <f>Monatsabrechnung!J76*$D$6</f>
        <v/>
      </c>
      <c r="J31" s="40">
        <f>Monatsabrechnung!K76*$D$6</f>
        <v/>
      </c>
      <c r="K31" s="40">
        <f>Monatsabrechnung!L76*$D$6</f>
        <v/>
      </c>
      <c r="L31" s="40">
        <f>Monatsabrechnung!M76*$D$6</f>
        <v/>
      </c>
      <c r="M31" s="40">
        <f>Monatsabrechnung!N76*$D$6</f>
        <v/>
      </c>
      <c r="N31" s="40">
        <f>Monatsabrechnung!O76*$D$6</f>
        <v/>
      </c>
      <c r="O31" s="40">
        <f>Monatsabrechnung!P76*$D$6</f>
        <v/>
      </c>
      <c r="P31" s="28">
        <f>SUM(D31:O31)</f>
        <v/>
      </c>
      <c r="Q31" s="40">
        <f>Monatsabrechnung!E76*$D$4*(1+$D$6)</f>
        <v/>
      </c>
      <c r="R31" s="40">
        <f>Monatsabrechnung!F76*$D$4*(1+$D$6)</f>
        <v/>
      </c>
      <c r="S31" s="40">
        <f>Monatsabrechnung!G76*$D$4*(1+$D$6)</f>
        <v/>
      </c>
      <c r="T31" s="40">
        <f>Monatsabrechnung!H76*$D$4*(1+$D$6)</f>
        <v/>
      </c>
      <c r="U31" s="40">
        <f>Monatsabrechnung!I76*$D$4*(1+$D$6)</f>
        <v/>
      </c>
      <c r="V31" s="40">
        <f>Monatsabrechnung!J76*$D$4*(1+$D$6)</f>
        <v/>
      </c>
      <c r="W31" s="40">
        <f>Monatsabrechnung!K76*$D$4*(1+$D$6)</f>
        <v/>
      </c>
      <c r="X31" s="40">
        <f>Monatsabrechnung!L76*$D$4*(1+$D$6)</f>
        <v/>
      </c>
      <c r="Y31" s="40">
        <f>Monatsabrechnung!M76*$D$4*(1+$D$6)</f>
        <v/>
      </c>
      <c r="Z31" s="40">
        <f>Monatsabrechnung!N76*$D$4*(1+$D$6)</f>
        <v/>
      </c>
      <c r="AA31" s="40">
        <f>Monatsabrechnung!O76*$D$4*(1+$D$6)</f>
        <v/>
      </c>
      <c r="AB31" s="40">
        <f>Monatsabrechnung!P76*$D$4*(1+$D$6)</f>
        <v/>
      </c>
      <c r="AC31" s="28">
        <f>SUM(Q31:AB31)</f>
        <v/>
      </c>
      <c r="AD31" s="40">
        <f>Monatsabrechnung!E76*$D$5*(1+$D$6)</f>
        <v/>
      </c>
      <c r="AE31" s="40">
        <f>Monatsabrechnung!F76*$D$5*(1+$D$6)</f>
        <v/>
      </c>
      <c r="AF31" s="40">
        <f>Monatsabrechnung!G76*$D$5*(1+$D$6)</f>
        <v/>
      </c>
      <c r="AG31" s="40">
        <f>Monatsabrechnung!H76*$D$5*(1+$D$6)</f>
        <v/>
      </c>
      <c r="AH31" s="40">
        <f>Monatsabrechnung!I76*$D$5*(1+$D$6)</f>
        <v/>
      </c>
      <c r="AI31" s="40">
        <f>Monatsabrechnung!J76*$D$5*(1+$D$6)</f>
        <v/>
      </c>
      <c r="AJ31" s="40">
        <f>Monatsabrechnung!K76*$D$5*(1+$D$6)</f>
        <v/>
      </c>
      <c r="AK31" s="40">
        <f>Monatsabrechnung!L76*$D$5*(1+$D$6)</f>
        <v/>
      </c>
      <c r="AL31" s="40">
        <f>Monatsabrechnung!M76*$D$5*(1+$D$6)</f>
        <v/>
      </c>
      <c r="AM31" s="40">
        <f>Monatsabrechnung!N76*$D$5*(1+$D$6)</f>
        <v/>
      </c>
      <c r="AN31" s="40">
        <f>Monatsabrechnung!O76*$D$5*(1+$D$6)</f>
        <v/>
      </c>
      <c r="AO31" s="40">
        <f>Monatsabrechnung!P76*$D$5*(1+$D$6)</f>
        <v/>
      </c>
      <c r="AP31" s="28">
        <f>SUM(AD31:AO31)</f>
        <v/>
      </c>
      <c r="AQ31" s="59">
        <f>P31+AC31+AP31</f>
        <v/>
      </c>
    </row>
    <row r="32">
      <c r="A32" s="89">
        <f>Stammdaten!A32</f>
        <v/>
      </c>
      <c r="B32" s="67">
        <f>Stammdaten!B32</f>
        <v/>
      </c>
      <c r="C32" s="67">
        <f>Stammdaten!C32</f>
        <v/>
      </c>
      <c r="D32" s="40">
        <f>Monatsabrechnung!E79*$D$6</f>
        <v/>
      </c>
      <c r="E32" s="40">
        <f>Monatsabrechnung!F79*$D$6</f>
        <v/>
      </c>
      <c r="F32" s="40">
        <f>Monatsabrechnung!G79*$D$6</f>
        <v/>
      </c>
      <c r="G32" s="40">
        <f>Monatsabrechnung!H79*$D$6</f>
        <v/>
      </c>
      <c r="H32" s="40">
        <f>Monatsabrechnung!I79*$D$6</f>
        <v/>
      </c>
      <c r="I32" s="40">
        <f>Monatsabrechnung!J79*$D$6</f>
        <v/>
      </c>
      <c r="J32" s="40">
        <f>Monatsabrechnung!K79*$D$6</f>
        <v/>
      </c>
      <c r="K32" s="40">
        <f>Monatsabrechnung!L79*$D$6</f>
        <v/>
      </c>
      <c r="L32" s="40">
        <f>Monatsabrechnung!M79*$D$6</f>
        <v/>
      </c>
      <c r="M32" s="40">
        <f>Monatsabrechnung!N79*$D$6</f>
        <v/>
      </c>
      <c r="N32" s="40">
        <f>Monatsabrechnung!O79*$D$6</f>
        <v/>
      </c>
      <c r="O32" s="40">
        <f>Monatsabrechnung!P79*$D$6</f>
        <v/>
      </c>
      <c r="P32" s="28">
        <f>SUM(D32:O32)</f>
        <v/>
      </c>
      <c r="Q32" s="40">
        <f>Monatsabrechnung!E79*$D$4*(1+$D$6)</f>
        <v/>
      </c>
      <c r="R32" s="40">
        <f>Monatsabrechnung!F79*$D$4*(1+$D$6)</f>
        <v/>
      </c>
      <c r="S32" s="40">
        <f>Monatsabrechnung!G79*$D$4*(1+$D$6)</f>
        <v/>
      </c>
      <c r="T32" s="40">
        <f>Monatsabrechnung!H79*$D$4*(1+$D$6)</f>
        <v/>
      </c>
      <c r="U32" s="40">
        <f>Monatsabrechnung!I79*$D$4*(1+$D$6)</f>
        <v/>
      </c>
      <c r="V32" s="40">
        <f>Monatsabrechnung!J79*$D$4*(1+$D$6)</f>
        <v/>
      </c>
      <c r="W32" s="40">
        <f>Monatsabrechnung!K79*$D$4*(1+$D$6)</f>
        <v/>
      </c>
      <c r="X32" s="40">
        <f>Monatsabrechnung!L79*$D$4*(1+$D$6)</f>
        <v/>
      </c>
      <c r="Y32" s="40">
        <f>Monatsabrechnung!M79*$D$4*(1+$D$6)</f>
        <v/>
      </c>
      <c r="Z32" s="40">
        <f>Monatsabrechnung!N79*$D$4*(1+$D$6)</f>
        <v/>
      </c>
      <c r="AA32" s="40">
        <f>Monatsabrechnung!O79*$D$4*(1+$D$6)</f>
        <v/>
      </c>
      <c r="AB32" s="40">
        <f>Monatsabrechnung!P79*$D$4*(1+$D$6)</f>
        <v/>
      </c>
      <c r="AC32" s="28">
        <f>SUM(Q32:AB32)</f>
        <v/>
      </c>
      <c r="AD32" s="40">
        <f>Monatsabrechnung!E79*$D$5*(1+$D$6)</f>
        <v/>
      </c>
      <c r="AE32" s="40">
        <f>Monatsabrechnung!F79*$D$5*(1+$D$6)</f>
        <v/>
      </c>
      <c r="AF32" s="40">
        <f>Monatsabrechnung!G79*$D$5*(1+$D$6)</f>
        <v/>
      </c>
      <c r="AG32" s="40">
        <f>Monatsabrechnung!H79*$D$5*(1+$D$6)</f>
        <v/>
      </c>
      <c r="AH32" s="40">
        <f>Monatsabrechnung!I79*$D$5*(1+$D$6)</f>
        <v/>
      </c>
      <c r="AI32" s="40">
        <f>Monatsabrechnung!J79*$D$5*(1+$D$6)</f>
        <v/>
      </c>
      <c r="AJ32" s="40">
        <f>Monatsabrechnung!K79*$D$5*(1+$D$6)</f>
        <v/>
      </c>
      <c r="AK32" s="40">
        <f>Monatsabrechnung!L79*$D$5*(1+$D$6)</f>
        <v/>
      </c>
      <c r="AL32" s="40">
        <f>Monatsabrechnung!M79*$D$5*(1+$D$6)</f>
        <v/>
      </c>
      <c r="AM32" s="40">
        <f>Monatsabrechnung!N79*$D$5*(1+$D$6)</f>
        <v/>
      </c>
      <c r="AN32" s="40">
        <f>Monatsabrechnung!O79*$D$5*(1+$D$6)</f>
        <v/>
      </c>
      <c r="AO32" s="40">
        <f>Monatsabrechnung!P79*$D$5*(1+$D$6)</f>
        <v/>
      </c>
      <c r="AP32" s="28">
        <f>SUM(AD32:AO32)</f>
        <v/>
      </c>
      <c r="AQ32" s="59">
        <f>P32+AC32+AP32</f>
        <v/>
      </c>
    </row>
    <row r="33">
      <c r="A33" s="89">
        <f>Stammdaten!A33</f>
        <v/>
      </c>
      <c r="B33" s="67">
        <f>Stammdaten!B33</f>
        <v/>
      </c>
      <c r="C33" s="67">
        <f>Stammdaten!C33</f>
        <v/>
      </c>
      <c r="D33" s="40">
        <f>Monatsabrechnung!E82*$D$6</f>
        <v/>
      </c>
      <c r="E33" s="40">
        <f>Monatsabrechnung!F82*$D$6</f>
        <v/>
      </c>
      <c r="F33" s="40">
        <f>Monatsabrechnung!G82*$D$6</f>
        <v/>
      </c>
      <c r="G33" s="40">
        <f>Monatsabrechnung!H82*$D$6</f>
        <v/>
      </c>
      <c r="H33" s="40">
        <f>Monatsabrechnung!I82*$D$6</f>
        <v/>
      </c>
      <c r="I33" s="40">
        <f>Monatsabrechnung!J82*$D$6</f>
        <v/>
      </c>
      <c r="J33" s="40">
        <f>Monatsabrechnung!K82*$D$6</f>
        <v/>
      </c>
      <c r="K33" s="40">
        <f>Monatsabrechnung!L82*$D$6</f>
        <v/>
      </c>
      <c r="L33" s="40">
        <f>Monatsabrechnung!M82*$D$6</f>
        <v/>
      </c>
      <c r="M33" s="40">
        <f>Monatsabrechnung!N82*$D$6</f>
        <v/>
      </c>
      <c r="N33" s="40">
        <f>Monatsabrechnung!O82*$D$6</f>
        <v/>
      </c>
      <c r="O33" s="40">
        <f>Monatsabrechnung!P82*$D$6</f>
        <v/>
      </c>
      <c r="P33" s="28">
        <f>SUM(D33:O33)</f>
        <v/>
      </c>
      <c r="Q33" s="40">
        <f>Monatsabrechnung!E82*$D$4*(1+$D$6)</f>
        <v/>
      </c>
      <c r="R33" s="40">
        <f>Monatsabrechnung!F82*$D$4*(1+$D$6)</f>
        <v/>
      </c>
      <c r="S33" s="40">
        <f>Monatsabrechnung!G82*$D$4*(1+$D$6)</f>
        <v/>
      </c>
      <c r="T33" s="40">
        <f>Monatsabrechnung!H82*$D$4*(1+$D$6)</f>
        <v/>
      </c>
      <c r="U33" s="40">
        <f>Monatsabrechnung!I82*$D$4*(1+$D$6)</f>
        <v/>
      </c>
      <c r="V33" s="40">
        <f>Monatsabrechnung!J82*$D$4*(1+$D$6)</f>
        <v/>
      </c>
      <c r="W33" s="40">
        <f>Monatsabrechnung!K82*$D$4*(1+$D$6)</f>
        <v/>
      </c>
      <c r="X33" s="40">
        <f>Monatsabrechnung!L82*$D$4*(1+$D$6)</f>
        <v/>
      </c>
      <c r="Y33" s="40">
        <f>Monatsabrechnung!M82*$D$4*(1+$D$6)</f>
        <v/>
      </c>
      <c r="Z33" s="40">
        <f>Monatsabrechnung!N82*$D$4*(1+$D$6)</f>
        <v/>
      </c>
      <c r="AA33" s="40">
        <f>Monatsabrechnung!O82*$D$4*(1+$D$6)</f>
        <v/>
      </c>
      <c r="AB33" s="40">
        <f>Monatsabrechnung!P82*$D$4*(1+$D$6)</f>
        <v/>
      </c>
      <c r="AC33" s="28">
        <f>SUM(Q33:AB33)</f>
        <v/>
      </c>
      <c r="AD33" s="40">
        <f>Monatsabrechnung!E82*$D$5*(1+$D$6)</f>
        <v/>
      </c>
      <c r="AE33" s="40">
        <f>Monatsabrechnung!F82*$D$5*(1+$D$6)</f>
        <v/>
      </c>
      <c r="AF33" s="40">
        <f>Monatsabrechnung!G82*$D$5*(1+$D$6)</f>
        <v/>
      </c>
      <c r="AG33" s="40">
        <f>Monatsabrechnung!H82*$D$5*(1+$D$6)</f>
        <v/>
      </c>
      <c r="AH33" s="40">
        <f>Monatsabrechnung!I82*$D$5*(1+$D$6)</f>
        <v/>
      </c>
      <c r="AI33" s="40">
        <f>Monatsabrechnung!J82*$D$5*(1+$D$6)</f>
        <v/>
      </c>
      <c r="AJ33" s="40">
        <f>Monatsabrechnung!K82*$D$5*(1+$D$6)</f>
        <v/>
      </c>
      <c r="AK33" s="40">
        <f>Monatsabrechnung!L82*$D$5*(1+$D$6)</f>
        <v/>
      </c>
      <c r="AL33" s="40">
        <f>Monatsabrechnung!M82*$D$5*(1+$D$6)</f>
        <v/>
      </c>
      <c r="AM33" s="40">
        <f>Monatsabrechnung!N82*$D$5*(1+$D$6)</f>
        <v/>
      </c>
      <c r="AN33" s="40">
        <f>Monatsabrechnung!O82*$D$5*(1+$D$6)</f>
        <v/>
      </c>
      <c r="AO33" s="40">
        <f>Monatsabrechnung!P82*$D$5*(1+$D$6)</f>
        <v/>
      </c>
      <c r="AP33" s="28">
        <f>SUM(AD33:AO33)</f>
        <v/>
      </c>
      <c r="AQ33" s="59">
        <f>P33+AC33+AP33</f>
        <v/>
      </c>
    </row>
    <row r="34">
      <c r="A34" s="89">
        <f>Stammdaten!A34</f>
        <v/>
      </c>
      <c r="B34" s="67">
        <f>Stammdaten!B34</f>
        <v/>
      </c>
      <c r="C34" s="67">
        <f>Stammdaten!C34</f>
        <v/>
      </c>
      <c r="D34" s="40">
        <f>Monatsabrechnung!E85*$D$6</f>
        <v/>
      </c>
      <c r="E34" s="40">
        <f>Monatsabrechnung!F85*$D$6</f>
        <v/>
      </c>
      <c r="F34" s="40">
        <f>Monatsabrechnung!G85*$D$6</f>
        <v/>
      </c>
      <c r="G34" s="40">
        <f>Monatsabrechnung!H85*$D$6</f>
        <v/>
      </c>
      <c r="H34" s="40">
        <f>Monatsabrechnung!I85*$D$6</f>
        <v/>
      </c>
      <c r="I34" s="40">
        <f>Monatsabrechnung!J85*$D$6</f>
        <v/>
      </c>
      <c r="J34" s="40">
        <f>Monatsabrechnung!K85*$D$6</f>
        <v/>
      </c>
      <c r="K34" s="40">
        <f>Monatsabrechnung!L85*$D$6</f>
        <v/>
      </c>
      <c r="L34" s="40">
        <f>Monatsabrechnung!M85*$D$6</f>
        <v/>
      </c>
      <c r="M34" s="40">
        <f>Monatsabrechnung!N85*$D$6</f>
        <v/>
      </c>
      <c r="N34" s="40">
        <f>Monatsabrechnung!O85*$D$6</f>
        <v/>
      </c>
      <c r="O34" s="40">
        <f>Monatsabrechnung!P85*$D$6</f>
        <v/>
      </c>
      <c r="P34" s="28">
        <f>SUM(D34:O34)</f>
        <v/>
      </c>
      <c r="Q34" s="40">
        <f>Monatsabrechnung!E85*$D$4*(1+$D$6)</f>
        <v/>
      </c>
      <c r="R34" s="40">
        <f>Monatsabrechnung!F85*$D$4*(1+$D$6)</f>
        <v/>
      </c>
      <c r="S34" s="40">
        <f>Monatsabrechnung!G85*$D$4*(1+$D$6)</f>
        <v/>
      </c>
      <c r="T34" s="40">
        <f>Monatsabrechnung!H85*$D$4*(1+$D$6)</f>
        <v/>
      </c>
      <c r="U34" s="40">
        <f>Monatsabrechnung!I85*$D$4*(1+$D$6)</f>
        <v/>
      </c>
      <c r="V34" s="40">
        <f>Monatsabrechnung!J85*$D$4*(1+$D$6)</f>
        <v/>
      </c>
      <c r="W34" s="40">
        <f>Monatsabrechnung!K85*$D$4*(1+$D$6)</f>
        <v/>
      </c>
      <c r="X34" s="40">
        <f>Monatsabrechnung!L85*$D$4*(1+$D$6)</f>
        <v/>
      </c>
      <c r="Y34" s="40">
        <f>Monatsabrechnung!M85*$D$4*(1+$D$6)</f>
        <v/>
      </c>
      <c r="Z34" s="40">
        <f>Monatsabrechnung!N85*$D$4*(1+$D$6)</f>
        <v/>
      </c>
      <c r="AA34" s="40">
        <f>Monatsabrechnung!O85*$D$4*(1+$D$6)</f>
        <v/>
      </c>
      <c r="AB34" s="40">
        <f>Monatsabrechnung!P85*$D$4*(1+$D$6)</f>
        <v/>
      </c>
      <c r="AC34" s="28">
        <f>SUM(Q34:AB34)</f>
        <v/>
      </c>
      <c r="AD34" s="40">
        <f>Monatsabrechnung!E85*$D$5*(1+$D$6)</f>
        <v/>
      </c>
      <c r="AE34" s="40">
        <f>Monatsabrechnung!F85*$D$5*(1+$D$6)</f>
        <v/>
      </c>
      <c r="AF34" s="40">
        <f>Monatsabrechnung!G85*$D$5*(1+$D$6)</f>
        <v/>
      </c>
      <c r="AG34" s="40">
        <f>Monatsabrechnung!H85*$D$5*(1+$D$6)</f>
        <v/>
      </c>
      <c r="AH34" s="40">
        <f>Monatsabrechnung!I85*$D$5*(1+$D$6)</f>
        <v/>
      </c>
      <c r="AI34" s="40">
        <f>Monatsabrechnung!J85*$D$5*(1+$D$6)</f>
        <v/>
      </c>
      <c r="AJ34" s="40">
        <f>Monatsabrechnung!K85*$D$5*(1+$D$6)</f>
        <v/>
      </c>
      <c r="AK34" s="40">
        <f>Monatsabrechnung!L85*$D$5*(1+$D$6)</f>
        <v/>
      </c>
      <c r="AL34" s="40">
        <f>Monatsabrechnung!M85*$D$5*(1+$D$6)</f>
        <v/>
      </c>
      <c r="AM34" s="40">
        <f>Monatsabrechnung!N85*$D$5*(1+$D$6)</f>
        <v/>
      </c>
      <c r="AN34" s="40">
        <f>Monatsabrechnung!O85*$D$5*(1+$D$6)</f>
        <v/>
      </c>
      <c r="AO34" s="40">
        <f>Monatsabrechnung!P85*$D$5*(1+$D$6)</f>
        <v/>
      </c>
      <c r="AP34" s="28">
        <f>SUM(AD34:AO34)</f>
        <v/>
      </c>
      <c r="AQ34" s="59">
        <f>P34+AC34+AP34</f>
        <v/>
      </c>
    </row>
    <row r="35">
      <c r="A35" s="89">
        <f>Stammdaten!A35</f>
        <v/>
      </c>
      <c r="B35" s="67">
        <f>Stammdaten!B35</f>
        <v/>
      </c>
      <c r="C35" s="67">
        <f>Stammdaten!C35</f>
        <v/>
      </c>
      <c r="D35" s="40">
        <f>Monatsabrechnung!E88*$D$6</f>
        <v/>
      </c>
      <c r="E35" s="40">
        <f>Monatsabrechnung!F88*$D$6</f>
        <v/>
      </c>
      <c r="F35" s="40">
        <f>Monatsabrechnung!G88*$D$6</f>
        <v/>
      </c>
      <c r="G35" s="40">
        <f>Monatsabrechnung!H88*$D$6</f>
        <v/>
      </c>
      <c r="H35" s="40">
        <f>Monatsabrechnung!I88*$D$6</f>
        <v/>
      </c>
      <c r="I35" s="40">
        <f>Monatsabrechnung!J88*$D$6</f>
        <v/>
      </c>
      <c r="J35" s="40">
        <f>Monatsabrechnung!K88*$D$6</f>
        <v/>
      </c>
      <c r="K35" s="40">
        <f>Monatsabrechnung!L88*$D$6</f>
        <v/>
      </c>
      <c r="L35" s="40">
        <f>Monatsabrechnung!M88*$D$6</f>
        <v/>
      </c>
      <c r="M35" s="40">
        <f>Monatsabrechnung!N88*$D$6</f>
        <v/>
      </c>
      <c r="N35" s="40">
        <f>Monatsabrechnung!O88*$D$6</f>
        <v/>
      </c>
      <c r="O35" s="40">
        <f>Monatsabrechnung!P88*$D$6</f>
        <v/>
      </c>
      <c r="P35" s="28">
        <f>SUM(D35:O35)</f>
        <v/>
      </c>
      <c r="Q35" s="40">
        <f>Monatsabrechnung!E88*$D$4*(1+$D$6)</f>
        <v/>
      </c>
      <c r="R35" s="40">
        <f>Monatsabrechnung!F88*$D$4*(1+$D$6)</f>
        <v/>
      </c>
      <c r="S35" s="40">
        <f>Monatsabrechnung!G88*$D$4*(1+$D$6)</f>
        <v/>
      </c>
      <c r="T35" s="40">
        <f>Monatsabrechnung!H88*$D$4*(1+$D$6)</f>
        <v/>
      </c>
      <c r="U35" s="40">
        <f>Monatsabrechnung!I88*$D$4*(1+$D$6)</f>
        <v/>
      </c>
      <c r="V35" s="40">
        <f>Monatsabrechnung!J88*$D$4*(1+$D$6)</f>
        <v/>
      </c>
      <c r="W35" s="40">
        <f>Monatsabrechnung!K88*$D$4*(1+$D$6)</f>
        <v/>
      </c>
      <c r="X35" s="40">
        <f>Monatsabrechnung!L88*$D$4*(1+$D$6)</f>
        <v/>
      </c>
      <c r="Y35" s="40">
        <f>Monatsabrechnung!M88*$D$4*(1+$D$6)</f>
        <v/>
      </c>
      <c r="Z35" s="40">
        <f>Monatsabrechnung!N88*$D$4*(1+$D$6)</f>
        <v/>
      </c>
      <c r="AA35" s="40">
        <f>Monatsabrechnung!O88*$D$4*(1+$D$6)</f>
        <v/>
      </c>
      <c r="AB35" s="40">
        <f>Monatsabrechnung!P88*$D$4*(1+$D$6)</f>
        <v/>
      </c>
      <c r="AC35" s="28">
        <f>SUM(Q35:AB35)</f>
        <v/>
      </c>
      <c r="AD35" s="40">
        <f>Monatsabrechnung!E88*$D$5*(1+$D$6)</f>
        <v/>
      </c>
      <c r="AE35" s="40">
        <f>Monatsabrechnung!F88*$D$5*(1+$D$6)</f>
        <v/>
      </c>
      <c r="AF35" s="40">
        <f>Monatsabrechnung!G88*$D$5*(1+$D$6)</f>
        <v/>
      </c>
      <c r="AG35" s="40">
        <f>Monatsabrechnung!H88*$D$5*(1+$D$6)</f>
        <v/>
      </c>
      <c r="AH35" s="40">
        <f>Monatsabrechnung!I88*$D$5*(1+$D$6)</f>
        <v/>
      </c>
      <c r="AI35" s="40">
        <f>Monatsabrechnung!J88*$D$5*(1+$D$6)</f>
        <v/>
      </c>
      <c r="AJ35" s="40">
        <f>Monatsabrechnung!K88*$D$5*(1+$D$6)</f>
        <v/>
      </c>
      <c r="AK35" s="40">
        <f>Monatsabrechnung!L88*$D$5*(1+$D$6)</f>
        <v/>
      </c>
      <c r="AL35" s="40">
        <f>Monatsabrechnung!M88*$D$5*(1+$D$6)</f>
        <v/>
      </c>
      <c r="AM35" s="40">
        <f>Monatsabrechnung!N88*$D$5*(1+$D$6)</f>
        <v/>
      </c>
      <c r="AN35" s="40">
        <f>Monatsabrechnung!O88*$D$5*(1+$D$6)</f>
        <v/>
      </c>
      <c r="AO35" s="40">
        <f>Monatsabrechnung!P88*$D$5*(1+$D$6)</f>
        <v/>
      </c>
      <c r="AP35" s="28">
        <f>SUM(AD35:AO35)</f>
        <v/>
      </c>
      <c r="AQ35" s="59">
        <f>P35+AC35+AP35</f>
        <v/>
      </c>
    </row>
    <row r="36">
      <c r="A36" s="89">
        <f>Stammdaten!A36</f>
        <v/>
      </c>
      <c r="B36" s="67">
        <f>Stammdaten!B36</f>
        <v/>
      </c>
      <c r="C36" s="67">
        <f>Stammdaten!C36</f>
        <v/>
      </c>
      <c r="D36" s="40">
        <f>Monatsabrechnung!E91*$D$6</f>
        <v/>
      </c>
      <c r="E36" s="40">
        <f>Monatsabrechnung!F91*$D$6</f>
        <v/>
      </c>
      <c r="F36" s="40">
        <f>Monatsabrechnung!G91*$D$6</f>
        <v/>
      </c>
      <c r="G36" s="40">
        <f>Monatsabrechnung!H91*$D$6</f>
        <v/>
      </c>
      <c r="H36" s="40">
        <f>Monatsabrechnung!I91*$D$6</f>
        <v/>
      </c>
      <c r="I36" s="40">
        <f>Monatsabrechnung!J91*$D$6</f>
        <v/>
      </c>
      <c r="J36" s="40">
        <f>Monatsabrechnung!K91*$D$6</f>
        <v/>
      </c>
      <c r="K36" s="40">
        <f>Monatsabrechnung!L91*$D$6</f>
        <v/>
      </c>
      <c r="L36" s="40">
        <f>Monatsabrechnung!M91*$D$6</f>
        <v/>
      </c>
      <c r="M36" s="40">
        <f>Monatsabrechnung!N91*$D$6</f>
        <v/>
      </c>
      <c r="N36" s="40">
        <f>Monatsabrechnung!O91*$D$6</f>
        <v/>
      </c>
      <c r="O36" s="40">
        <f>Monatsabrechnung!P91*$D$6</f>
        <v/>
      </c>
      <c r="P36" s="28">
        <f>SUM(D36:O36)</f>
        <v/>
      </c>
      <c r="Q36" s="40">
        <f>Monatsabrechnung!E91*$D$4*(1+$D$6)</f>
        <v/>
      </c>
      <c r="R36" s="40">
        <f>Monatsabrechnung!F91*$D$4*(1+$D$6)</f>
        <v/>
      </c>
      <c r="S36" s="40">
        <f>Monatsabrechnung!G91*$D$4*(1+$D$6)</f>
        <v/>
      </c>
      <c r="T36" s="40">
        <f>Monatsabrechnung!H91*$D$4*(1+$D$6)</f>
        <v/>
      </c>
      <c r="U36" s="40">
        <f>Monatsabrechnung!I91*$D$4*(1+$D$6)</f>
        <v/>
      </c>
      <c r="V36" s="40">
        <f>Monatsabrechnung!J91*$D$4*(1+$D$6)</f>
        <v/>
      </c>
      <c r="W36" s="40">
        <f>Monatsabrechnung!K91*$D$4*(1+$D$6)</f>
        <v/>
      </c>
      <c r="X36" s="40">
        <f>Monatsabrechnung!L91*$D$4*(1+$D$6)</f>
        <v/>
      </c>
      <c r="Y36" s="40">
        <f>Monatsabrechnung!M91*$D$4*(1+$D$6)</f>
        <v/>
      </c>
      <c r="Z36" s="40">
        <f>Monatsabrechnung!N91*$D$4*(1+$D$6)</f>
        <v/>
      </c>
      <c r="AA36" s="40">
        <f>Monatsabrechnung!O91*$D$4*(1+$D$6)</f>
        <v/>
      </c>
      <c r="AB36" s="40">
        <f>Monatsabrechnung!P91*$D$4*(1+$D$6)</f>
        <v/>
      </c>
      <c r="AC36" s="28">
        <f>SUM(Q36:AB36)</f>
        <v/>
      </c>
      <c r="AD36" s="40">
        <f>Monatsabrechnung!E91*$D$5*(1+$D$6)</f>
        <v/>
      </c>
      <c r="AE36" s="40">
        <f>Monatsabrechnung!F91*$D$5*(1+$D$6)</f>
        <v/>
      </c>
      <c r="AF36" s="40">
        <f>Monatsabrechnung!G91*$D$5*(1+$D$6)</f>
        <v/>
      </c>
      <c r="AG36" s="40">
        <f>Monatsabrechnung!H91*$D$5*(1+$D$6)</f>
        <v/>
      </c>
      <c r="AH36" s="40">
        <f>Monatsabrechnung!I91*$D$5*(1+$D$6)</f>
        <v/>
      </c>
      <c r="AI36" s="40">
        <f>Monatsabrechnung!J91*$D$5*(1+$D$6)</f>
        <v/>
      </c>
      <c r="AJ36" s="40">
        <f>Monatsabrechnung!K91*$D$5*(1+$D$6)</f>
        <v/>
      </c>
      <c r="AK36" s="40">
        <f>Monatsabrechnung!L91*$D$5*(1+$D$6)</f>
        <v/>
      </c>
      <c r="AL36" s="40">
        <f>Monatsabrechnung!M91*$D$5*(1+$D$6)</f>
        <v/>
      </c>
      <c r="AM36" s="40">
        <f>Monatsabrechnung!N91*$D$5*(1+$D$6)</f>
        <v/>
      </c>
      <c r="AN36" s="40">
        <f>Monatsabrechnung!O91*$D$5*(1+$D$6)</f>
        <v/>
      </c>
      <c r="AO36" s="40">
        <f>Monatsabrechnung!P91*$D$5*(1+$D$6)</f>
        <v/>
      </c>
      <c r="AP36" s="28">
        <f>SUM(AD36:AO36)</f>
        <v/>
      </c>
      <c r="AQ36" s="59">
        <f>P36+AC36+AP36</f>
        <v/>
      </c>
    </row>
    <row r="37">
      <c r="A37" s="89">
        <f>Stammdaten!A37</f>
        <v/>
      </c>
      <c r="B37" s="67">
        <f>Stammdaten!B37</f>
        <v/>
      </c>
      <c r="C37" s="67">
        <f>Stammdaten!C37</f>
        <v/>
      </c>
      <c r="D37" s="40">
        <f>Monatsabrechnung!E94*$D$6</f>
        <v/>
      </c>
      <c r="E37" s="40">
        <f>Monatsabrechnung!F94*$D$6</f>
        <v/>
      </c>
      <c r="F37" s="40">
        <f>Monatsabrechnung!G94*$D$6</f>
        <v/>
      </c>
      <c r="G37" s="40">
        <f>Monatsabrechnung!H94*$D$6</f>
        <v/>
      </c>
      <c r="H37" s="40">
        <f>Monatsabrechnung!I94*$D$6</f>
        <v/>
      </c>
      <c r="I37" s="40">
        <f>Monatsabrechnung!J94*$D$6</f>
        <v/>
      </c>
      <c r="J37" s="40">
        <f>Monatsabrechnung!K94*$D$6</f>
        <v/>
      </c>
      <c r="K37" s="40">
        <f>Monatsabrechnung!L94*$D$6</f>
        <v/>
      </c>
      <c r="L37" s="40">
        <f>Monatsabrechnung!M94*$D$6</f>
        <v/>
      </c>
      <c r="M37" s="40">
        <f>Monatsabrechnung!N94*$D$6</f>
        <v/>
      </c>
      <c r="N37" s="40">
        <f>Monatsabrechnung!O94*$D$6</f>
        <v/>
      </c>
      <c r="O37" s="40">
        <f>Monatsabrechnung!P94*$D$6</f>
        <v/>
      </c>
      <c r="P37" s="28">
        <f>SUM(D37:O37)</f>
        <v/>
      </c>
      <c r="Q37" s="40">
        <f>Monatsabrechnung!E94*$D$4*(1+$D$6)</f>
        <v/>
      </c>
      <c r="R37" s="40">
        <f>Monatsabrechnung!F94*$D$4*(1+$D$6)</f>
        <v/>
      </c>
      <c r="S37" s="40">
        <f>Monatsabrechnung!G94*$D$4*(1+$D$6)</f>
        <v/>
      </c>
      <c r="T37" s="40">
        <f>Monatsabrechnung!H94*$D$4*(1+$D$6)</f>
        <v/>
      </c>
      <c r="U37" s="40">
        <f>Monatsabrechnung!I94*$D$4*(1+$D$6)</f>
        <v/>
      </c>
      <c r="V37" s="40">
        <f>Monatsabrechnung!J94*$D$4*(1+$D$6)</f>
        <v/>
      </c>
      <c r="W37" s="40">
        <f>Monatsabrechnung!K94*$D$4*(1+$D$6)</f>
        <v/>
      </c>
      <c r="X37" s="40">
        <f>Monatsabrechnung!L94*$D$4*(1+$D$6)</f>
        <v/>
      </c>
      <c r="Y37" s="40">
        <f>Monatsabrechnung!M94*$D$4*(1+$D$6)</f>
        <v/>
      </c>
      <c r="Z37" s="40">
        <f>Monatsabrechnung!N94*$D$4*(1+$D$6)</f>
        <v/>
      </c>
      <c r="AA37" s="40">
        <f>Monatsabrechnung!O94*$D$4*(1+$D$6)</f>
        <v/>
      </c>
      <c r="AB37" s="40">
        <f>Monatsabrechnung!P94*$D$4*(1+$D$6)</f>
        <v/>
      </c>
      <c r="AC37" s="28">
        <f>SUM(Q37:AB37)</f>
        <v/>
      </c>
      <c r="AD37" s="40">
        <f>Monatsabrechnung!E94*$D$5*(1+$D$6)</f>
        <v/>
      </c>
      <c r="AE37" s="40">
        <f>Monatsabrechnung!F94*$D$5*(1+$D$6)</f>
        <v/>
      </c>
      <c r="AF37" s="40">
        <f>Monatsabrechnung!G94*$D$5*(1+$D$6)</f>
        <v/>
      </c>
      <c r="AG37" s="40">
        <f>Monatsabrechnung!H94*$D$5*(1+$D$6)</f>
        <v/>
      </c>
      <c r="AH37" s="40">
        <f>Monatsabrechnung!I94*$D$5*(1+$D$6)</f>
        <v/>
      </c>
      <c r="AI37" s="40">
        <f>Monatsabrechnung!J94*$D$5*(1+$D$6)</f>
        <v/>
      </c>
      <c r="AJ37" s="40">
        <f>Monatsabrechnung!K94*$D$5*(1+$D$6)</f>
        <v/>
      </c>
      <c r="AK37" s="40">
        <f>Monatsabrechnung!L94*$D$5*(1+$D$6)</f>
        <v/>
      </c>
      <c r="AL37" s="40">
        <f>Monatsabrechnung!M94*$D$5*(1+$D$6)</f>
        <v/>
      </c>
      <c r="AM37" s="40">
        <f>Monatsabrechnung!N94*$D$5*(1+$D$6)</f>
        <v/>
      </c>
      <c r="AN37" s="40">
        <f>Monatsabrechnung!O94*$D$5*(1+$D$6)</f>
        <v/>
      </c>
      <c r="AO37" s="40">
        <f>Monatsabrechnung!P94*$D$5*(1+$D$6)</f>
        <v/>
      </c>
      <c r="AP37" s="28">
        <f>SUM(AD37:AO37)</f>
        <v/>
      </c>
      <c r="AQ37" s="59">
        <f>P37+AC37+AP37</f>
        <v/>
      </c>
    </row>
    <row r="38">
      <c r="A38" s="89">
        <f>Stammdaten!A38</f>
        <v/>
      </c>
      <c r="B38" s="67">
        <f>Stammdaten!B38</f>
        <v/>
      </c>
      <c r="C38" s="67">
        <f>Stammdaten!C38</f>
        <v/>
      </c>
      <c r="D38" s="40">
        <f>Monatsabrechnung!E97*$D$6</f>
        <v/>
      </c>
      <c r="E38" s="40">
        <f>Monatsabrechnung!F97*$D$6</f>
        <v/>
      </c>
      <c r="F38" s="40">
        <f>Monatsabrechnung!G97*$D$6</f>
        <v/>
      </c>
      <c r="G38" s="40">
        <f>Monatsabrechnung!H97*$D$6</f>
        <v/>
      </c>
      <c r="H38" s="40">
        <f>Monatsabrechnung!I97*$D$6</f>
        <v/>
      </c>
      <c r="I38" s="40">
        <f>Monatsabrechnung!J97*$D$6</f>
        <v/>
      </c>
      <c r="J38" s="40">
        <f>Monatsabrechnung!K97*$D$6</f>
        <v/>
      </c>
      <c r="K38" s="40">
        <f>Monatsabrechnung!L97*$D$6</f>
        <v/>
      </c>
      <c r="L38" s="40">
        <f>Monatsabrechnung!M97*$D$6</f>
        <v/>
      </c>
      <c r="M38" s="40">
        <f>Monatsabrechnung!N97*$D$6</f>
        <v/>
      </c>
      <c r="N38" s="40">
        <f>Monatsabrechnung!O97*$D$6</f>
        <v/>
      </c>
      <c r="O38" s="40">
        <f>Monatsabrechnung!P97*$D$6</f>
        <v/>
      </c>
      <c r="P38" s="28">
        <f>SUM(D38:O38)</f>
        <v/>
      </c>
      <c r="Q38" s="40">
        <f>Monatsabrechnung!E97*$D$4*(1+$D$6)</f>
        <v/>
      </c>
      <c r="R38" s="40">
        <f>Monatsabrechnung!F97*$D$4*(1+$D$6)</f>
        <v/>
      </c>
      <c r="S38" s="40">
        <f>Monatsabrechnung!G97*$D$4*(1+$D$6)</f>
        <v/>
      </c>
      <c r="T38" s="40">
        <f>Monatsabrechnung!H97*$D$4*(1+$D$6)</f>
        <v/>
      </c>
      <c r="U38" s="40">
        <f>Monatsabrechnung!I97*$D$4*(1+$D$6)</f>
        <v/>
      </c>
      <c r="V38" s="40">
        <f>Monatsabrechnung!J97*$D$4*(1+$D$6)</f>
        <v/>
      </c>
      <c r="W38" s="40">
        <f>Monatsabrechnung!K97*$D$4*(1+$D$6)</f>
        <v/>
      </c>
      <c r="X38" s="40">
        <f>Monatsabrechnung!L97*$D$4*(1+$D$6)</f>
        <v/>
      </c>
      <c r="Y38" s="40">
        <f>Monatsabrechnung!M97*$D$4*(1+$D$6)</f>
        <v/>
      </c>
      <c r="Z38" s="40">
        <f>Monatsabrechnung!N97*$D$4*(1+$D$6)</f>
        <v/>
      </c>
      <c r="AA38" s="40">
        <f>Monatsabrechnung!O97*$D$4*(1+$D$6)</f>
        <v/>
      </c>
      <c r="AB38" s="40">
        <f>Monatsabrechnung!P97*$D$4*(1+$D$6)</f>
        <v/>
      </c>
      <c r="AC38" s="28">
        <f>SUM(Q38:AB38)</f>
        <v/>
      </c>
      <c r="AD38" s="40">
        <f>Monatsabrechnung!E97*$D$5*(1+$D$6)</f>
        <v/>
      </c>
      <c r="AE38" s="40">
        <f>Monatsabrechnung!F97*$D$5*(1+$D$6)</f>
        <v/>
      </c>
      <c r="AF38" s="40">
        <f>Monatsabrechnung!G97*$D$5*(1+$D$6)</f>
        <v/>
      </c>
      <c r="AG38" s="40">
        <f>Monatsabrechnung!H97*$D$5*(1+$D$6)</f>
        <v/>
      </c>
      <c r="AH38" s="40">
        <f>Monatsabrechnung!I97*$D$5*(1+$D$6)</f>
        <v/>
      </c>
      <c r="AI38" s="40">
        <f>Monatsabrechnung!J97*$D$5*(1+$D$6)</f>
        <v/>
      </c>
      <c r="AJ38" s="40">
        <f>Monatsabrechnung!K97*$D$5*(1+$D$6)</f>
        <v/>
      </c>
      <c r="AK38" s="40">
        <f>Monatsabrechnung!L97*$D$5*(1+$D$6)</f>
        <v/>
      </c>
      <c r="AL38" s="40">
        <f>Monatsabrechnung!M97*$D$5*(1+$D$6)</f>
        <v/>
      </c>
      <c r="AM38" s="40">
        <f>Monatsabrechnung!N97*$D$5*(1+$D$6)</f>
        <v/>
      </c>
      <c r="AN38" s="40">
        <f>Monatsabrechnung!O97*$D$5*(1+$D$6)</f>
        <v/>
      </c>
      <c r="AO38" s="40">
        <f>Monatsabrechnung!P97*$D$5*(1+$D$6)</f>
        <v/>
      </c>
      <c r="AP38" s="28">
        <f>SUM(AD38:AO38)</f>
        <v/>
      </c>
      <c r="AQ38" s="59">
        <f>P38+AC38+AP38</f>
        <v/>
      </c>
    </row>
    <row r="39">
      <c r="A39" s="91">
        <f>Stammdaten!A39</f>
        <v/>
      </c>
      <c r="B39" s="73">
        <f>Stammdaten!B39</f>
        <v/>
      </c>
      <c r="C39" s="73">
        <f>Stammdaten!C39</f>
        <v/>
      </c>
      <c r="D39" s="40">
        <f>Monatsabrechnung!E100*$D$6</f>
        <v/>
      </c>
      <c r="E39" s="40">
        <f>Monatsabrechnung!F100*$D$6</f>
        <v/>
      </c>
      <c r="F39" s="40">
        <f>Monatsabrechnung!G100*$D$6</f>
        <v/>
      </c>
      <c r="G39" s="40">
        <f>Monatsabrechnung!H100*$D$6</f>
        <v/>
      </c>
      <c r="H39" s="40">
        <f>Monatsabrechnung!I100*$D$6</f>
        <v/>
      </c>
      <c r="I39" s="40">
        <f>Monatsabrechnung!J100*$D$6</f>
        <v/>
      </c>
      <c r="J39" s="40">
        <f>Monatsabrechnung!K100*$D$6</f>
        <v/>
      </c>
      <c r="K39" s="40">
        <f>Monatsabrechnung!L100*$D$6</f>
        <v/>
      </c>
      <c r="L39" s="40">
        <f>Monatsabrechnung!M100*$D$6</f>
        <v/>
      </c>
      <c r="M39" s="40">
        <f>Monatsabrechnung!N100*$D$6</f>
        <v/>
      </c>
      <c r="N39" s="40">
        <f>Monatsabrechnung!O100*$D$6</f>
        <v/>
      </c>
      <c r="O39" s="40">
        <f>Monatsabrechnung!P100*$D$6</f>
        <v/>
      </c>
      <c r="P39" s="28">
        <f>SUM(D39:O39)</f>
        <v/>
      </c>
      <c r="Q39" s="40">
        <f>Monatsabrechnung!E100*$D$4*(1+$D$6)</f>
        <v/>
      </c>
      <c r="R39" s="40">
        <f>Monatsabrechnung!F100*$D$4*(1+$D$6)</f>
        <v/>
      </c>
      <c r="S39" s="40">
        <f>Monatsabrechnung!G100*$D$4*(1+$D$6)</f>
        <v/>
      </c>
      <c r="T39" s="40">
        <f>Monatsabrechnung!H100*$D$4*(1+$D$6)</f>
        <v/>
      </c>
      <c r="U39" s="40">
        <f>Monatsabrechnung!I100*$D$4*(1+$D$6)</f>
        <v/>
      </c>
      <c r="V39" s="40">
        <f>Monatsabrechnung!J100*$D$4*(1+$D$6)</f>
        <v/>
      </c>
      <c r="W39" s="40">
        <f>Monatsabrechnung!K100*$D$4*(1+$D$6)</f>
        <v/>
      </c>
      <c r="X39" s="40">
        <f>Monatsabrechnung!L100*$D$4*(1+$D$6)</f>
        <v/>
      </c>
      <c r="Y39" s="40">
        <f>Monatsabrechnung!M100*$D$4*(1+$D$6)</f>
        <v/>
      </c>
      <c r="Z39" s="40">
        <f>Monatsabrechnung!N100*$D$4*(1+$D$6)</f>
        <v/>
      </c>
      <c r="AA39" s="40">
        <f>Monatsabrechnung!O100*$D$4*(1+$D$6)</f>
        <v/>
      </c>
      <c r="AB39" s="40">
        <f>Monatsabrechnung!P100*$D$4*(1+$D$6)</f>
        <v/>
      </c>
      <c r="AC39" s="28">
        <f>SUM(Q39:AB39)</f>
        <v/>
      </c>
      <c r="AD39" s="40">
        <f>Monatsabrechnung!E100*$D$5*(1+$D$6)</f>
        <v/>
      </c>
      <c r="AE39" s="40">
        <f>Monatsabrechnung!F100*$D$5*(1+$D$6)</f>
        <v/>
      </c>
      <c r="AF39" s="40">
        <f>Monatsabrechnung!G100*$D$5*(1+$D$6)</f>
        <v/>
      </c>
      <c r="AG39" s="40">
        <f>Monatsabrechnung!H100*$D$5*(1+$D$6)</f>
        <v/>
      </c>
      <c r="AH39" s="40">
        <f>Monatsabrechnung!I100*$D$5*(1+$D$6)</f>
        <v/>
      </c>
      <c r="AI39" s="40">
        <f>Monatsabrechnung!J100*$D$5*(1+$D$6)</f>
        <v/>
      </c>
      <c r="AJ39" s="40">
        <f>Monatsabrechnung!K100*$D$5*(1+$D$6)</f>
        <v/>
      </c>
      <c r="AK39" s="40">
        <f>Monatsabrechnung!L100*$D$5*(1+$D$6)</f>
        <v/>
      </c>
      <c r="AL39" s="40">
        <f>Monatsabrechnung!M100*$D$5*(1+$D$6)</f>
        <v/>
      </c>
      <c r="AM39" s="40">
        <f>Monatsabrechnung!N100*$D$5*(1+$D$6)</f>
        <v/>
      </c>
      <c r="AN39" s="40">
        <f>Monatsabrechnung!O100*$D$5*(1+$D$6)</f>
        <v/>
      </c>
      <c r="AO39" s="40">
        <f>Monatsabrechnung!P100*$D$5*(1+$D$6)</f>
        <v/>
      </c>
      <c r="AP39" s="28">
        <f>SUM(AD39:AO39)</f>
        <v/>
      </c>
      <c r="AQ39" s="59">
        <f>P39+AC39+AP39</f>
        <v/>
      </c>
    </row>
    <row r="40">
      <c r="A40" s="91">
        <f>Stammdaten!A40</f>
        <v/>
      </c>
      <c r="B40" s="73">
        <f>Stammdaten!B40</f>
        <v/>
      </c>
      <c r="C40" s="73">
        <f>Stammdaten!C40</f>
        <v/>
      </c>
      <c r="D40" s="40">
        <f>Monatsabrechnung!E103*$D$6</f>
        <v/>
      </c>
      <c r="E40" s="40">
        <f>Monatsabrechnung!F103*$D$6</f>
        <v/>
      </c>
      <c r="F40" s="40">
        <f>Monatsabrechnung!G103*$D$6</f>
        <v/>
      </c>
      <c r="G40" s="40">
        <f>Monatsabrechnung!H103*$D$6</f>
        <v/>
      </c>
      <c r="H40" s="40">
        <f>Monatsabrechnung!I103*$D$6</f>
        <v/>
      </c>
      <c r="I40" s="40">
        <f>Monatsabrechnung!J103*$D$6</f>
        <v/>
      </c>
      <c r="J40" s="40">
        <f>Monatsabrechnung!K103*$D$6</f>
        <v/>
      </c>
      <c r="K40" s="40">
        <f>Monatsabrechnung!L103*$D$6</f>
        <v/>
      </c>
      <c r="L40" s="40">
        <f>Monatsabrechnung!M103*$D$6</f>
        <v/>
      </c>
      <c r="M40" s="40">
        <f>Monatsabrechnung!N103*$D$6</f>
        <v/>
      </c>
      <c r="N40" s="40">
        <f>Monatsabrechnung!O103*$D$6</f>
        <v/>
      </c>
      <c r="O40" s="40">
        <f>Monatsabrechnung!P103*$D$6</f>
        <v/>
      </c>
      <c r="P40" s="28">
        <f>SUM(D40:O40)</f>
        <v/>
      </c>
      <c r="Q40" s="40">
        <f>Monatsabrechnung!E103*$D$4*(1+$D$6)</f>
        <v/>
      </c>
      <c r="R40" s="40">
        <f>Monatsabrechnung!F103*$D$4*(1+$D$6)</f>
        <v/>
      </c>
      <c r="S40" s="40">
        <f>Monatsabrechnung!G103*$D$4*(1+$D$6)</f>
        <v/>
      </c>
      <c r="T40" s="40">
        <f>Monatsabrechnung!H103*$D$4*(1+$D$6)</f>
        <v/>
      </c>
      <c r="U40" s="40">
        <f>Monatsabrechnung!I103*$D$4*(1+$D$6)</f>
        <v/>
      </c>
      <c r="V40" s="40">
        <f>Monatsabrechnung!J103*$D$4*(1+$D$6)</f>
        <v/>
      </c>
      <c r="W40" s="40">
        <f>Monatsabrechnung!K103*$D$4*(1+$D$6)</f>
        <v/>
      </c>
      <c r="X40" s="40">
        <f>Monatsabrechnung!L103*$D$4*(1+$D$6)</f>
        <v/>
      </c>
      <c r="Y40" s="40">
        <f>Monatsabrechnung!M103*$D$4*(1+$D$6)</f>
        <v/>
      </c>
      <c r="Z40" s="40">
        <f>Monatsabrechnung!N103*$D$4*(1+$D$6)</f>
        <v/>
      </c>
      <c r="AA40" s="40">
        <f>Monatsabrechnung!O103*$D$4*(1+$D$6)</f>
        <v/>
      </c>
      <c r="AB40" s="40">
        <f>Monatsabrechnung!P103*$D$4*(1+$D$6)</f>
        <v/>
      </c>
      <c r="AC40" s="28">
        <f>SUM(Q40:AB40)</f>
        <v/>
      </c>
      <c r="AD40" s="40">
        <f>Monatsabrechnung!E103*$D$5*(1+$D$6)</f>
        <v/>
      </c>
      <c r="AE40" s="40">
        <f>Monatsabrechnung!F103*$D$5*(1+$D$6)</f>
        <v/>
      </c>
      <c r="AF40" s="40">
        <f>Monatsabrechnung!G103*$D$5*(1+$D$6)</f>
        <v/>
      </c>
      <c r="AG40" s="40">
        <f>Monatsabrechnung!H103*$D$5*(1+$D$6)</f>
        <v/>
      </c>
      <c r="AH40" s="40">
        <f>Monatsabrechnung!I103*$D$5*(1+$D$6)</f>
        <v/>
      </c>
      <c r="AI40" s="40">
        <f>Monatsabrechnung!J103*$D$5*(1+$D$6)</f>
        <v/>
      </c>
      <c r="AJ40" s="40">
        <f>Monatsabrechnung!K103*$D$5*(1+$D$6)</f>
        <v/>
      </c>
      <c r="AK40" s="40">
        <f>Monatsabrechnung!L103*$D$5*(1+$D$6)</f>
        <v/>
      </c>
      <c r="AL40" s="40">
        <f>Monatsabrechnung!M103*$D$5*(1+$D$6)</f>
        <v/>
      </c>
      <c r="AM40" s="40">
        <f>Monatsabrechnung!N103*$D$5*(1+$D$6)</f>
        <v/>
      </c>
      <c r="AN40" s="40">
        <f>Monatsabrechnung!O103*$D$5*(1+$D$6)</f>
        <v/>
      </c>
      <c r="AO40" s="40">
        <f>Monatsabrechnung!P103*$D$5*(1+$D$6)</f>
        <v/>
      </c>
      <c r="AP40" s="28">
        <f>SUM(AD40:AO40)</f>
        <v/>
      </c>
      <c r="AQ40" s="59">
        <f>P40+AC40+AP40</f>
        <v/>
      </c>
    </row>
    <row r="41">
      <c r="A41" s="91">
        <f>Stammdaten!A41</f>
        <v/>
      </c>
      <c r="B41" s="73">
        <f>Stammdaten!B41</f>
        <v/>
      </c>
      <c r="C41" s="73">
        <f>Stammdaten!C41</f>
        <v/>
      </c>
      <c r="D41" s="40">
        <f>Monatsabrechnung!E106*$D$6</f>
        <v/>
      </c>
      <c r="E41" s="40">
        <f>Monatsabrechnung!F106*$D$6</f>
        <v/>
      </c>
      <c r="F41" s="40">
        <f>Monatsabrechnung!G106*$D$6</f>
        <v/>
      </c>
      <c r="G41" s="40">
        <f>Monatsabrechnung!H106*$D$6</f>
        <v/>
      </c>
      <c r="H41" s="40">
        <f>Monatsabrechnung!I106*$D$6</f>
        <v/>
      </c>
      <c r="I41" s="40">
        <f>Monatsabrechnung!J106*$D$6</f>
        <v/>
      </c>
      <c r="J41" s="40">
        <f>Monatsabrechnung!K106*$D$6</f>
        <v/>
      </c>
      <c r="K41" s="40">
        <f>Monatsabrechnung!L106*$D$6</f>
        <v/>
      </c>
      <c r="L41" s="40">
        <f>Monatsabrechnung!M106*$D$6</f>
        <v/>
      </c>
      <c r="M41" s="40">
        <f>Monatsabrechnung!N106*$D$6</f>
        <v/>
      </c>
      <c r="N41" s="40">
        <f>Monatsabrechnung!O106*$D$6</f>
        <v/>
      </c>
      <c r="O41" s="40">
        <f>Monatsabrechnung!P106*$D$6</f>
        <v/>
      </c>
      <c r="P41" s="28">
        <f>SUM(D41:O41)</f>
        <v/>
      </c>
      <c r="Q41" s="40">
        <f>Monatsabrechnung!E106*$D$4*(1+$D$6)</f>
        <v/>
      </c>
      <c r="R41" s="40">
        <f>Monatsabrechnung!F106*$D$4*(1+$D$6)</f>
        <v/>
      </c>
      <c r="S41" s="40">
        <f>Monatsabrechnung!G106*$D$4*(1+$D$6)</f>
        <v/>
      </c>
      <c r="T41" s="40">
        <f>Monatsabrechnung!H106*$D$4*(1+$D$6)</f>
        <v/>
      </c>
      <c r="U41" s="40">
        <f>Monatsabrechnung!I106*$D$4*(1+$D$6)</f>
        <v/>
      </c>
      <c r="V41" s="40">
        <f>Monatsabrechnung!J106*$D$4*(1+$D$6)</f>
        <v/>
      </c>
      <c r="W41" s="40">
        <f>Monatsabrechnung!K106*$D$4*(1+$D$6)</f>
        <v/>
      </c>
      <c r="X41" s="40">
        <f>Monatsabrechnung!L106*$D$4*(1+$D$6)</f>
        <v/>
      </c>
      <c r="Y41" s="40">
        <f>Monatsabrechnung!M106*$D$4*(1+$D$6)</f>
        <v/>
      </c>
      <c r="Z41" s="40">
        <f>Monatsabrechnung!N106*$D$4*(1+$D$6)</f>
        <v/>
      </c>
      <c r="AA41" s="40">
        <f>Monatsabrechnung!O106*$D$4*(1+$D$6)</f>
        <v/>
      </c>
      <c r="AB41" s="40">
        <f>Monatsabrechnung!P106*$D$4*(1+$D$6)</f>
        <v/>
      </c>
      <c r="AC41" s="28">
        <f>SUM(Q41:AB41)</f>
        <v/>
      </c>
      <c r="AD41" s="40">
        <f>Monatsabrechnung!E106*$D$5*(1+$D$6)</f>
        <v/>
      </c>
      <c r="AE41" s="40">
        <f>Monatsabrechnung!F106*$D$5*(1+$D$6)</f>
        <v/>
      </c>
      <c r="AF41" s="40">
        <f>Monatsabrechnung!G106*$D$5*(1+$D$6)</f>
        <v/>
      </c>
      <c r="AG41" s="40">
        <f>Monatsabrechnung!H106*$D$5*(1+$D$6)</f>
        <v/>
      </c>
      <c r="AH41" s="40">
        <f>Monatsabrechnung!I106*$D$5*(1+$D$6)</f>
        <v/>
      </c>
      <c r="AI41" s="40">
        <f>Monatsabrechnung!J106*$D$5*(1+$D$6)</f>
        <v/>
      </c>
      <c r="AJ41" s="40">
        <f>Monatsabrechnung!K106*$D$5*(1+$D$6)</f>
        <v/>
      </c>
      <c r="AK41" s="40">
        <f>Monatsabrechnung!L106*$D$5*(1+$D$6)</f>
        <v/>
      </c>
      <c r="AL41" s="40">
        <f>Monatsabrechnung!M106*$D$5*(1+$D$6)</f>
        <v/>
      </c>
      <c r="AM41" s="40">
        <f>Monatsabrechnung!N106*$D$5*(1+$D$6)</f>
        <v/>
      </c>
      <c r="AN41" s="40">
        <f>Monatsabrechnung!O106*$D$5*(1+$D$6)</f>
        <v/>
      </c>
      <c r="AO41" s="40">
        <f>Monatsabrechnung!P106*$D$5*(1+$D$6)</f>
        <v/>
      </c>
      <c r="AP41" s="28">
        <f>SUM(AD41:AO41)</f>
        <v/>
      </c>
      <c r="AQ41" s="59">
        <f>P41+AC41+AP41</f>
        <v/>
      </c>
    </row>
    <row r="42">
      <c r="A42" s="91">
        <f>Stammdaten!A42</f>
        <v/>
      </c>
      <c r="B42" s="73">
        <f>Stammdaten!B42</f>
        <v/>
      </c>
      <c r="C42" s="73">
        <f>Stammdaten!C42</f>
        <v/>
      </c>
      <c r="D42" s="40">
        <f>Monatsabrechnung!E109*$D$6</f>
        <v/>
      </c>
      <c r="E42" s="40">
        <f>Monatsabrechnung!F109*$D$6</f>
        <v/>
      </c>
      <c r="F42" s="40">
        <f>Monatsabrechnung!G109*$D$6</f>
        <v/>
      </c>
      <c r="G42" s="40">
        <f>Monatsabrechnung!H109*$D$6</f>
        <v/>
      </c>
      <c r="H42" s="40">
        <f>Monatsabrechnung!I109*$D$6</f>
        <v/>
      </c>
      <c r="I42" s="40">
        <f>Monatsabrechnung!J109*$D$6</f>
        <v/>
      </c>
      <c r="J42" s="40">
        <f>Monatsabrechnung!K109*$D$6</f>
        <v/>
      </c>
      <c r="K42" s="40">
        <f>Monatsabrechnung!L109*$D$6</f>
        <v/>
      </c>
      <c r="L42" s="40">
        <f>Monatsabrechnung!M109*$D$6</f>
        <v/>
      </c>
      <c r="M42" s="40">
        <f>Monatsabrechnung!N109*$D$6</f>
        <v/>
      </c>
      <c r="N42" s="40">
        <f>Monatsabrechnung!O109*$D$6</f>
        <v/>
      </c>
      <c r="O42" s="40">
        <f>Monatsabrechnung!P109*$D$6</f>
        <v/>
      </c>
      <c r="P42" s="28">
        <f>SUM(D42:O42)</f>
        <v/>
      </c>
      <c r="Q42" s="40">
        <f>Monatsabrechnung!E109*$D$4*(1+$D$6)</f>
        <v/>
      </c>
      <c r="R42" s="40">
        <f>Monatsabrechnung!F109*$D$4*(1+$D$6)</f>
        <v/>
      </c>
      <c r="S42" s="40">
        <f>Monatsabrechnung!G109*$D$4*(1+$D$6)</f>
        <v/>
      </c>
      <c r="T42" s="40">
        <f>Monatsabrechnung!H109*$D$4*(1+$D$6)</f>
        <v/>
      </c>
      <c r="U42" s="40">
        <f>Monatsabrechnung!I109*$D$4*(1+$D$6)</f>
        <v/>
      </c>
      <c r="V42" s="40">
        <f>Monatsabrechnung!J109*$D$4*(1+$D$6)</f>
        <v/>
      </c>
      <c r="W42" s="40">
        <f>Monatsabrechnung!K109*$D$4*(1+$D$6)</f>
        <v/>
      </c>
      <c r="X42" s="40">
        <f>Monatsabrechnung!L109*$D$4*(1+$D$6)</f>
        <v/>
      </c>
      <c r="Y42" s="40">
        <f>Monatsabrechnung!M109*$D$4*(1+$D$6)</f>
        <v/>
      </c>
      <c r="Z42" s="40">
        <f>Monatsabrechnung!N109*$D$4*(1+$D$6)</f>
        <v/>
      </c>
      <c r="AA42" s="40">
        <f>Monatsabrechnung!O109*$D$4*(1+$D$6)</f>
        <v/>
      </c>
      <c r="AB42" s="40">
        <f>Monatsabrechnung!P109*$D$4*(1+$D$6)</f>
        <v/>
      </c>
      <c r="AC42" s="28">
        <f>SUM(Q42:AB42)</f>
        <v/>
      </c>
      <c r="AD42" s="40">
        <f>Monatsabrechnung!E109*$D$5*(1+$D$6)</f>
        <v/>
      </c>
      <c r="AE42" s="40">
        <f>Monatsabrechnung!F109*$D$5*(1+$D$6)</f>
        <v/>
      </c>
      <c r="AF42" s="40">
        <f>Monatsabrechnung!G109*$D$5*(1+$D$6)</f>
        <v/>
      </c>
      <c r="AG42" s="40">
        <f>Monatsabrechnung!H109*$D$5*(1+$D$6)</f>
        <v/>
      </c>
      <c r="AH42" s="40">
        <f>Monatsabrechnung!I109*$D$5*(1+$D$6)</f>
        <v/>
      </c>
      <c r="AI42" s="40">
        <f>Monatsabrechnung!J109*$D$5*(1+$D$6)</f>
        <v/>
      </c>
      <c r="AJ42" s="40">
        <f>Monatsabrechnung!K109*$D$5*(1+$D$6)</f>
        <v/>
      </c>
      <c r="AK42" s="40">
        <f>Monatsabrechnung!L109*$D$5*(1+$D$6)</f>
        <v/>
      </c>
      <c r="AL42" s="40">
        <f>Monatsabrechnung!M109*$D$5*(1+$D$6)</f>
        <v/>
      </c>
      <c r="AM42" s="40">
        <f>Monatsabrechnung!N109*$D$5*(1+$D$6)</f>
        <v/>
      </c>
      <c r="AN42" s="40">
        <f>Monatsabrechnung!O109*$D$5*(1+$D$6)</f>
        <v/>
      </c>
      <c r="AO42" s="40">
        <f>Monatsabrechnung!P109*$D$5*(1+$D$6)</f>
        <v/>
      </c>
      <c r="AP42" s="28">
        <f>SUM(AD42:AO42)</f>
        <v/>
      </c>
      <c r="AQ42" s="59">
        <f>P42+AC42+AP42</f>
        <v/>
      </c>
    </row>
    <row r="43">
      <c r="A43" s="91">
        <f>Stammdaten!A43</f>
        <v/>
      </c>
      <c r="B43" s="73">
        <f>Stammdaten!B43</f>
        <v/>
      </c>
      <c r="C43" s="73">
        <f>Stammdaten!C43</f>
        <v/>
      </c>
      <c r="D43" s="40">
        <f>Monatsabrechnung!E112*$D$6</f>
        <v/>
      </c>
      <c r="E43" s="40">
        <f>Monatsabrechnung!F112*$D$6</f>
        <v/>
      </c>
      <c r="F43" s="40">
        <f>Monatsabrechnung!G112*$D$6</f>
        <v/>
      </c>
      <c r="G43" s="40">
        <f>Monatsabrechnung!H112*$D$6</f>
        <v/>
      </c>
      <c r="H43" s="40">
        <f>Monatsabrechnung!I112*$D$6</f>
        <v/>
      </c>
      <c r="I43" s="40">
        <f>Monatsabrechnung!J112*$D$6</f>
        <v/>
      </c>
      <c r="J43" s="40">
        <f>Monatsabrechnung!K112*$D$6</f>
        <v/>
      </c>
      <c r="K43" s="40">
        <f>Monatsabrechnung!L112*$D$6</f>
        <v/>
      </c>
      <c r="L43" s="40">
        <f>Monatsabrechnung!M112*$D$6</f>
        <v/>
      </c>
      <c r="M43" s="40">
        <f>Monatsabrechnung!N112*$D$6</f>
        <v/>
      </c>
      <c r="N43" s="40">
        <f>Monatsabrechnung!O112*$D$6</f>
        <v/>
      </c>
      <c r="O43" s="40">
        <f>Monatsabrechnung!P112*$D$6</f>
        <v/>
      </c>
      <c r="P43" s="28">
        <f>SUM(D43:O43)</f>
        <v/>
      </c>
      <c r="Q43" s="40">
        <f>Monatsabrechnung!E112*$D$4*(1+$D$6)</f>
        <v/>
      </c>
      <c r="R43" s="40">
        <f>Monatsabrechnung!F112*$D$4*(1+$D$6)</f>
        <v/>
      </c>
      <c r="S43" s="40">
        <f>Monatsabrechnung!G112*$D$4*(1+$D$6)</f>
        <v/>
      </c>
      <c r="T43" s="40">
        <f>Monatsabrechnung!H112*$D$4*(1+$D$6)</f>
        <v/>
      </c>
      <c r="U43" s="40">
        <f>Monatsabrechnung!I112*$D$4*(1+$D$6)</f>
        <v/>
      </c>
      <c r="V43" s="40">
        <f>Monatsabrechnung!J112*$D$4*(1+$D$6)</f>
        <v/>
      </c>
      <c r="W43" s="40">
        <f>Monatsabrechnung!K112*$D$4*(1+$D$6)</f>
        <v/>
      </c>
      <c r="X43" s="40">
        <f>Monatsabrechnung!L112*$D$4*(1+$D$6)</f>
        <v/>
      </c>
      <c r="Y43" s="40">
        <f>Monatsabrechnung!M112*$D$4*(1+$D$6)</f>
        <v/>
      </c>
      <c r="Z43" s="40">
        <f>Monatsabrechnung!N112*$D$4*(1+$D$6)</f>
        <v/>
      </c>
      <c r="AA43" s="40">
        <f>Monatsabrechnung!O112*$D$4*(1+$D$6)</f>
        <v/>
      </c>
      <c r="AB43" s="40">
        <f>Monatsabrechnung!P112*$D$4*(1+$D$6)</f>
        <v/>
      </c>
      <c r="AC43" s="28">
        <f>SUM(Q43:AB43)</f>
        <v/>
      </c>
      <c r="AD43" s="40">
        <f>Monatsabrechnung!E112*$D$5*(1+$D$6)</f>
        <v/>
      </c>
      <c r="AE43" s="40">
        <f>Monatsabrechnung!F112*$D$5*(1+$D$6)</f>
        <v/>
      </c>
      <c r="AF43" s="40">
        <f>Monatsabrechnung!G112*$D$5*(1+$D$6)</f>
        <v/>
      </c>
      <c r="AG43" s="40">
        <f>Monatsabrechnung!H112*$D$5*(1+$D$6)</f>
        <v/>
      </c>
      <c r="AH43" s="40">
        <f>Monatsabrechnung!I112*$D$5*(1+$D$6)</f>
        <v/>
      </c>
      <c r="AI43" s="40">
        <f>Monatsabrechnung!J112*$D$5*(1+$D$6)</f>
        <v/>
      </c>
      <c r="AJ43" s="40">
        <f>Monatsabrechnung!K112*$D$5*(1+$D$6)</f>
        <v/>
      </c>
      <c r="AK43" s="40">
        <f>Monatsabrechnung!L112*$D$5*(1+$D$6)</f>
        <v/>
      </c>
      <c r="AL43" s="40">
        <f>Monatsabrechnung!M112*$D$5*(1+$D$6)</f>
        <v/>
      </c>
      <c r="AM43" s="40">
        <f>Monatsabrechnung!N112*$D$5*(1+$D$6)</f>
        <v/>
      </c>
      <c r="AN43" s="40">
        <f>Monatsabrechnung!O112*$D$5*(1+$D$6)</f>
        <v/>
      </c>
      <c r="AO43" s="40">
        <f>Monatsabrechnung!P112*$D$5*(1+$D$6)</f>
        <v/>
      </c>
      <c r="AP43" s="28">
        <f>SUM(AD43:AO43)</f>
        <v/>
      </c>
      <c r="AQ43" s="59">
        <f>P43+AC43+AP43</f>
        <v/>
      </c>
    </row>
    <row r="44">
      <c r="A44" s="91">
        <f>Stammdaten!A44</f>
        <v/>
      </c>
      <c r="B44" s="73">
        <f>Stammdaten!B44</f>
        <v/>
      </c>
      <c r="C44" s="73">
        <f>Stammdaten!C44</f>
        <v/>
      </c>
      <c r="D44" s="40">
        <f>Monatsabrechnung!E115*$D$6</f>
        <v/>
      </c>
      <c r="E44" s="40">
        <f>Monatsabrechnung!F115*$D$6</f>
        <v/>
      </c>
      <c r="F44" s="40">
        <f>Monatsabrechnung!G115*$D$6</f>
        <v/>
      </c>
      <c r="G44" s="40">
        <f>Monatsabrechnung!H115*$D$6</f>
        <v/>
      </c>
      <c r="H44" s="40">
        <f>Monatsabrechnung!I115*$D$6</f>
        <v/>
      </c>
      <c r="I44" s="40">
        <f>Monatsabrechnung!J115*$D$6</f>
        <v/>
      </c>
      <c r="J44" s="40">
        <f>Monatsabrechnung!K115*$D$6</f>
        <v/>
      </c>
      <c r="K44" s="40">
        <f>Monatsabrechnung!L115*$D$6</f>
        <v/>
      </c>
      <c r="L44" s="40">
        <f>Monatsabrechnung!M115*$D$6</f>
        <v/>
      </c>
      <c r="M44" s="40">
        <f>Monatsabrechnung!N115*$D$6</f>
        <v/>
      </c>
      <c r="N44" s="40">
        <f>Monatsabrechnung!O115*$D$6</f>
        <v/>
      </c>
      <c r="O44" s="40">
        <f>Monatsabrechnung!P115*$D$6</f>
        <v/>
      </c>
      <c r="P44" s="28">
        <f>SUM(D44:O44)</f>
        <v/>
      </c>
      <c r="Q44" s="40">
        <f>Monatsabrechnung!E115*$D$4*(1+$D$6)</f>
        <v/>
      </c>
      <c r="R44" s="40">
        <f>Monatsabrechnung!F115*$D$4*(1+$D$6)</f>
        <v/>
      </c>
      <c r="S44" s="40">
        <f>Monatsabrechnung!G115*$D$4*(1+$D$6)</f>
        <v/>
      </c>
      <c r="T44" s="40">
        <f>Monatsabrechnung!H115*$D$4*(1+$D$6)</f>
        <v/>
      </c>
      <c r="U44" s="40">
        <f>Monatsabrechnung!I115*$D$4*(1+$D$6)</f>
        <v/>
      </c>
      <c r="V44" s="40">
        <f>Monatsabrechnung!J115*$D$4*(1+$D$6)</f>
        <v/>
      </c>
      <c r="W44" s="40">
        <f>Monatsabrechnung!K115*$D$4*(1+$D$6)</f>
        <v/>
      </c>
      <c r="X44" s="40">
        <f>Monatsabrechnung!L115*$D$4*(1+$D$6)</f>
        <v/>
      </c>
      <c r="Y44" s="40">
        <f>Monatsabrechnung!M115*$D$4*(1+$D$6)</f>
        <v/>
      </c>
      <c r="Z44" s="40">
        <f>Monatsabrechnung!N115*$D$4*(1+$D$6)</f>
        <v/>
      </c>
      <c r="AA44" s="40">
        <f>Monatsabrechnung!O115*$D$4*(1+$D$6)</f>
        <v/>
      </c>
      <c r="AB44" s="40">
        <f>Monatsabrechnung!P115*$D$4*(1+$D$6)</f>
        <v/>
      </c>
      <c r="AC44" s="28">
        <f>SUM(Q44:AB44)</f>
        <v/>
      </c>
      <c r="AD44" s="40">
        <f>Monatsabrechnung!E115*$D$5*(1+$D$6)</f>
        <v/>
      </c>
      <c r="AE44" s="40">
        <f>Monatsabrechnung!F115*$D$5*(1+$D$6)</f>
        <v/>
      </c>
      <c r="AF44" s="40">
        <f>Monatsabrechnung!G115*$D$5*(1+$D$6)</f>
        <v/>
      </c>
      <c r="AG44" s="40">
        <f>Monatsabrechnung!H115*$D$5*(1+$D$6)</f>
        <v/>
      </c>
      <c r="AH44" s="40">
        <f>Monatsabrechnung!I115*$D$5*(1+$D$6)</f>
        <v/>
      </c>
      <c r="AI44" s="40">
        <f>Monatsabrechnung!J115*$D$5*(1+$D$6)</f>
        <v/>
      </c>
      <c r="AJ44" s="40">
        <f>Monatsabrechnung!K115*$D$5*(1+$D$6)</f>
        <v/>
      </c>
      <c r="AK44" s="40">
        <f>Monatsabrechnung!L115*$D$5*(1+$D$6)</f>
        <v/>
      </c>
      <c r="AL44" s="40">
        <f>Monatsabrechnung!M115*$D$5*(1+$D$6)</f>
        <v/>
      </c>
      <c r="AM44" s="40">
        <f>Monatsabrechnung!N115*$D$5*(1+$D$6)</f>
        <v/>
      </c>
      <c r="AN44" s="40">
        <f>Monatsabrechnung!O115*$D$5*(1+$D$6)</f>
        <v/>
      </c>
      <c r="AO44" s="40">
        <f>Monatsabrechnung!P115*$D$5*(1+$D$6)</f>
        <v/>
      </c>
      <c r="AP44" s="28">
        <f>SUM(AD44:AO44)</f>
        <v/>
      </c>
      <c r="AQ44" s="59">
        <f>P44+AC44+AP44</f>
        <v/>
      </c>
    </row>
    <row r="45">
      <c r="A45" s="91">
        <f>Stammdaten!A45</f>
        <v/>
      </c>
      <c r="B45" s="73">
        <f>Stammdaten!B45</f>
        <v/>
      </c>
      <c r="C45" s="73">
        <f>Stammdaten!C45</f>
        <v/>
      </c>
      <c r="D45" s="40">
        <f>Monatsabrechnung!E118*$D$6</f>
        <v/>
      </c>
      <c r="E45" s="40">
        <f>Monatsabrechnung!F118*$D$6</f>
        <v/>
      </c>
      <c r="F45" s="40">
        <f>Monatsabrechnung!G118*$D$6</f>
        <v/>
      </c>
      <c r="G45" s="40">
        <f>Monatsabrechnung!H118*$D$6</f>
        <v/>
      </c>
      <c r="H45" s="40">
        <f>Monatsabrechnung!I118*$D$6</f>
        <v/>
      </c>
      <c r="I45" s="40">
        <f>Monatsabrechnung!J118*$D$6</f>
        <v/>
      </c>
      <c r="J45" s="40">
        <f>Monatsabrechnung!K118*$D$6</f>
        <v/>
      </c>
      <c r="K45" s="40">
        <f>Monatsabrechnung!L118*$D$6</f>
        <v/>
      </c>
      <c r="L45" s="40">
        <f>Monatsabrechnung!M118*$D$6</f>
        <v/>
      </c>
      <c r="M45" s="40">
        <f>Monatsabrechnung!N118*$D$6</f>
        <v/>
      </c>
      <c r="N45" s="40">
        <f>Monatsabrechnung!O118*$D$6</f>
        <v/>
      </c>
      <c r="O45" s="40">
        <f>Monatsabrechnung!P118*$D$6</f>
        <v/>
      </c>
      <c r="P45" s="28">
        <f>SUM(D45:O45)</f>
        <v/>
      </c>
      <c r="Q45" s="40">
        <f>Monatsabrechnung!E118*$D$4*(1+$D$6)</f>
        <v/>
      </c>
      <c r="R45" s="40">
        <f>Monatsabrechnung!F118*$D$4*(1+$D$6)</f>
        <v/>
      </c>
      <c r="S45" s="40">
        <f>Monatsabrechnung!G118*$D$4*(1+$D$6)</f>
        <v/>
      </c>
      <c r="T45" s="40">
        <f>Monatsabrechnung!H118*$D$4*(1+$D$6)</f>
        <v/>
      </c>
      <c r="U45" s="40">
        <f>Monatsabrechnung!I118*$D$4*(1+$D$6)</f>
        <v/>
      </c>
      <c r="V45" s="40">
        <f>Monatsabrechnung!J118*$D$4*(1+$D$6)</f>
        <v/>
      </c>
      <c r="W45" s="40">
        <f>Monatsabrechnung!K118*$D$4*(1+$D$6)</f>
        <v/>
      </c>
      <c r="X45" s="40">
        <f>Monatsabrechnung!L118*$D$4*(1+$D$6)</f>
        <v/>
      </c>
      <c r="Y45" s="40">
        <f>Monatsabrechnung!M118*$D$4*(1+$D$6)</f>
        <v/>
      </c>
      <c r="Z45" s="40">
        <f>Monatsabrechnung!N118*$D$4*(1+$D$6)</f>
        <v/>
      </c>
      <c r="AA45" s="40">
        <f>Monatsabrechnung!O118*$D$4*(1+$D$6)</f>
        <v/>
      </c>
      <c r="AB45" s="40">
        <f>Monatsabrechnung!P118*$D$4*(1+$D$6)</f>
        <v/>
      </c>
      <c r="AC45" s="28">
        <f>SUM(Q45:AB45)</f>
        <v/>
      </c>
      <c r="AD45" s="40">
        <f>Monatsabrechnung!E118*$D$5*(1+$D$6)</f>
        <v/>
      </c>
      <c r="AE45" s="40">
        <f>Monatsabrechnung!F118*$D$5*(1+$D$6)</f>
        <v/>
      </c>
      <c r="AF45" s="40">
        <f>Monatsabrechnung!G118*$D$5*(1+$D$6)</f>
        <v/>
      </c>
      <c r="AG45" s="40">
        <f>Monatsabrechnung!H118*$D$5*(1+$D$6)</f>
        <v/>
      </c>
      <c r="AH45" s="40">
        <f>Monatsabrechnung!I118*$D$5*(1+$D$6)</f>
        <v/>
      </c>
      <c r="AI45" s="40">
        <f>Monatsabrechnung!J118*$D$5*(1+$D$6)</f>
        <v/>
      </c>
      <c r="AJ45" s="40">
        <f>Monatsabrechnung!K118*$D$5*(1+$D$6)</f>
        <v/>
      </c>
      <c r="AK45" s="40">
        <f>Monatsabrechnung!L118*$D$5*(1+$D$6)</f>
        <v/>
      </c>
      <c r="AL45" s="40">
        <f>Monatsabrechnung!M118*$D$5*(1+$D$6)</f>
        <v/>
      </c>
      <c r="AM45" s="40">
        <f>Monatsabrechnung!N118*$D$5*(1+$D$6)</f>
        <v/>
      </c>
      <c r="AN45" s="40">
        <f>Monatsabrechnung!O118*$D$5*(1+$D$6)</f>
        <v/>
      </c>
      <c r="AO45" s="40">
        <f>Monatsabrechnung!P118*$D$5*(1+$D$6)</f>
        <v/>
      </c>
      <c r="AP45" s="28">
        <f>SUM(AD45:AO45)</f>
        <v/>
      </c>
      <c r="AQ45" s="59">
        <f>P45+AC45+AP45</f>
        <v/>
      </c>
    </row>
    <row r="46">
      <c r="A46" s="91">
        <f>Stammdaten!A46</f>
        <v/>
      </c>
      <c r="B46" s="73">
        <f>Stammdaten!B46</f>
        <v/>
      </c>
      <c r="C46" s="73">
        <f>Stammdaten!C46</f>
        <v/>
      </c>
      <c r="D46" s="40">
        <f>Monatsabrechnung!E121*$D$6</f>
        <v/>
      </c>
      <c r="E46" s="40">
        <f>Monatsabrechnung!F121*$D$6</f>
        <v/>
      </c>
      <c r="F46" s="40">
        <f>Monatsabrechnung!G121*$D$6</f>
        <v/>
      </c>
      <c r="G46" s="40">
        <f>Monatsabrechnung!H121*$D$6</f>
        <v/>
      </c>
      <c r="H46" s="40">
        <f>Monatsabrechnung!I121*$D$6</f>
        <v/>
      </c>
      <c r="I46" s="40">
        <f>Monatsabrechnung!J121*$D$6</f>
        <v/>
      </c>
      <c r="J46" s="40">
        <f>Monatsabrechnung!K121*$D$6</f>
        <v/>
      </c>
      <c r="K46" s="40">
        <f>Monatsabrechnung!L121*$D$6</f>
        <v/>
      </c>
      <c r="L46" s="40">
        <f>Monatsabrechnung!M121*$D$6</f>
        <v/>
      </c>
      <c r="M46" s="40">
        <f>Monatsabrechnung!N121*$D$6</f>
        <v/>
      </c>
      <c r="N46" s="40">
        <f>Monatsabrechnung!O121*$D$6</f>
        <v/>
      </c>
      <c r="O46" s="40">
        <f>Monatsabrechnung!P121*$D$6</f>
        <v/>
      </c>
      <c r="P46" s="28">
        <f>SUM(D46:O46)</f>
        <v/>
      </c>
      <c r="Q46" s="40">
        <f>Monatsabrechnung!E121*$D$4*(1+$D$6)</f>
        <v/>
      </c>
      <c r="R46" s="40">
        <f>Monatsabrechnung!F121*$D$4*(1+$D$6)</f>
        <v/>
      </c>
      <c r="S46" s="40">
        <f>Monatsabrechnung!G121*$D$4*(1+$D$6)</f>
        <v/>
      </c>
      <c r="T46" s="40">
        <f>Monatsabrechnung!H121*$D$4*(1+$D$6)</f>
        <v/>
      </c>
      <c r="U46" s="40">
        <f>Monatsabrechnung!I121*$D$4*(1+$D$6)</f>
        <v/>
      </c>
      <c r="V46" s="40">
        <f>Monatsabrechnung!J121*$D$4*(1+$D$6)</f>
        <v/>
      </c>
      <c r="W46" s="40">
        <f>Monatsabrechnung!K121*$D$4*(1+$D$6)</f>
        <v/>
      </c>
      <c r="X46" s="40">
        <f>Monatsabrechnung!L121*$D$4*(1+$D$6)</f>
        <v/>
      </c>
      <c r="Y46" s="40">
        <f>Monatsabrechnung!M121*$D$4*(1+$D$6)</f>
        <v/>
      </c>
      <c r="Z46" s="40">
        <f>Monatsabrechnung!N121*$D$4*(1+$D$6)</f>
        <v/>
      </c>
      <c r="AA46" s="40">
        <f>Monatsabrechnung!O121*$D$4*(1+$D$6)</f>
        <v/>
      </c>
      <c r="AB46" s="40">
        <f>Monatsabrechnung!P121*$D$4*(1+$D$6)</f>
        <v/>
      </c>
      <c r="AC46" s="28">
        <f>SUM(Q46:AB46)</f>
        <v/>
      </c>
      <c r="AD46" s="40">
        <f>Monatsabrechnung!E121*$D$5*(1+$D$6)</f>
        <v/>
      </c>
      <c r="AE46" s="40">
        <f>Monatsabrechnung!F121*$D$5*(1+$D$6)</f>
        <v/>
      </c>
      <c r="AF46" s="40">
        <f>Monatsabrechnung!G121*$D$5*(1+$D$6)</f>
        <v/>
      </c>
      <c r="AG46" s="40">
        <f>Monatsabrechnung!H121*$D$5*(1+$D$6)</f>
        <v/>
      </c>
      <c r="AH46" s="40">
        <f>Monatsabrechnung!I121*$D$5*(1+$D$6)</f>
        <v/>
      </c>
      <c r="AI46" s="40">
        <f>Monatsabrechnung!J121*$D$5*(1+$D$6)</f>
        <v/>
      </c>
      <c r="AJ46" s="40">
        <f>Monatsabrechnung!K121*$D$5*(1+$D$6)</f>
        <v/>
      </c>
      <c r="AK46" s="40">
        <f>Monatsabrechnung!L121*$D$5*(1+$D$6)</f>
        <v/>
      </c>
      <c r="AL46" s="40">
        <f>Monatsabrechnung!M121*$D$5*(1+$D$6)</f>
        <v/>
      </c>
      <c r="AM46" s="40">
        <f>Monatsabrechnung!N121*$D$5*(1+$D$6)</f>
        <v/>
      </c>
      <c r="AN46" s="40">
        <f>Monatsabrechnung!O121*$D$5*(1+$D$6)</f>
        <v/>
      </c>
      <c r="AO46" s="40">
        <f>Monatsabrechnung!P121*$D$5*(1+$D$6)</f>
        <v/>
      </c>
      <c r="AP46" s="28">
        <f>SUM(AD46:AO46)</f>
        <v/>
      </c>
      <c r="AQ46" s="59">
        <f>P46+AC46+AP46</f>
        <v/>
      </c>
    </row>
    <row r="47">
      <c r="A47" s="91">
        <f>Stammdaten!A47</f>
        <v/>
      </c>
      <c r="B47" s="73">
        <f>Stammdaten!B47</f>
        <v/>
      </c>
      <c r="C47" s="73">
        <f>Stammdaten!C47</f>
        <v/>
      </c>
      <c r="D47" s="40">
        <f>Monatsabrechnung!E124*$D$6</f>
        <v/>
      </c>
      <c r="E47" s="40">
        <f>Monatsabrechnung!F124*$D$6</f>
        <v/>
      </c>
      <c r="F47" s="40">
        <f>Monatsabrechnung!G124*$D$6</f>
        <v/>
      </c>
      <c r="G47" s="40">
        <f>Monatsabrechnung!H124*$D$6</f>
        <v/>
      </c>
      <c r="H47" s="40">
        <f>Monatsabrechnung!I124*$D$6</f>
        <v/>
      </c>
      <c r="I47" s="40">
        <f>Monatsabrechnung!J124*$D$6</f>
        <v/>
      </c>
      <c r="J47" s="40">
        <f>Monatsabrechnung!K124*$D$6</f>
        <v/>
      </c>
      <c r="K47" s="40">
        <f>Monatsabrechnung!L124*$D$6</f>
        <v/>
      </c>
      <c r="L47" s="40">
        <f>Monatsabrechnung!M124*$D$6</f>
        <v/>
      </c>
      <c r="M47" s="40">
        <f>Monatsabrechnung!N124*$D$6</f>
        <v/>
      </c>
      <c r="N47" s="40">
        <f>Monatsabrechnung!O124*$D$6</f>
        <v/>
      </c>
      <c r="O47" s="40">
        <f>Monatsabrechnung!P124*$D$6</f>
        <v/>
      </c>
      <c r="P47" s="28">
        <f>SUM(D47:O47)</f>
        <v/>
      </c>
      <c r="Q47" s="40">
        <f>Monatsabrechnung!E124*$D$4*(1+$D$6)</f>
        <v/>
      </c>
      <c r="R47" s="40">
        <f>Monatsabrechnung!F124*$D$4*(1+$D$6)</f>
        <v/>
      </c>
      <c r="S47" s="40">
        <f>Monatsabrechnung!G124*$D$4*(1+$D$6)</f>
        <v/>
      </c>
      <c r="T47" s="40">
        <f>Monatsabrechnung!H124*$D$4*(1+$D$6)</f>
        <v/>
      </c>
      <c r="U47" s="40">
        <f>Monatsabrechnung!I124*$D$4*(1+$D$6)</f>
        <v/>
      </c>
      <c r="V47" s="40">
        <f>Monatsabrechnung!J124*$D$4*(1+$D$6)</f>
        <v/>
      </c>
      <c r="W47" s="40">
        <f>Monatsabrechnung!K124*$D$4*(1+$D$6)</f>
        <v/>
      </c>
      <c r="X47" s="40">
        <f>Monatsabrechnung!L124*$D$4*(1+$D$6)</f>
        <v/>
      </c>
      <c r="Y47" s="40">
        <f>Monatsabrechnung!M124*$D$4*(1+$D$6)</f>
        <v/>
      </c>
      <c r="Z47" s="40">
        <f>Monatsabrechnung!N124*$D$4*(1+$D$6)</f>
        <v/>
      </c>
      <c r="AA47" s="40">
        <f>Monatsabrechnung!O124*$D$4*(1+$D$6)</f>
        <v/>
      </c>
      <c r="AB47" s="40">
        <f>Monatsabrechnung!P124*$D$4*(1+$D$6)</f>
        <v/>
      </c>
      <c r="AC47" s="28">
        <f>SUM(Q47:AB47)</f>
        <v/>
      </c>
      <c r="AD47" s="40">
        <f>Monatsabrechnung!E124*$D$5*(1+$D$6)</f>
        <v/>
      </c>
      <c r="AE47" s="40">
        <f>Monatsabrechnung!F124*$D$5*(1+$D$6)</f>
        <v/>
      </c>
      <c r="AF47" s="40">
        <f>Monatsabrechnung!G124*$D$5*(1+$D$6)</f>
        <v/>
      </c>
      <c r="AG47" s="40">
        <f>Monatsabrechnung!H124*$D$5*(1+$D$6)</f>
        <v/>
      </c>
      <c r="AH47" s="40">
        <f>Monatsabrechnung!I124*$D$5*(1+$D$6)</f>
        <v/>
      </c>
      <c r="AI47" s="40">
        <f>Monatsabrechnung!J124*$D$5*(1+$D$6)</f>
        <v/>
      </c>
      <c r="AJ47" s="40">
        <f>Monatsabrechnung!K124*$D$5*(1+$D$6)</f>
        <v/>
      </c>
      <c r="AK47" s="40">
        <f>Monatsabrechnung!L124*$D$5*(1+$D$6)</f>
        <v/>
      </c>
      <c r="AL47" s="40">
        <f>Monatsabrechnung!M124*$D$5*(1+$D$6)</f>
        <v/>
      </c>
      <c r="AM47" s="40">
        <f>Monatsabrechnung!N124*$D$5*(1+$D$6)</f>
        <v/>
      </c>
      <c r="AN47" s="40">
        <f>Monatsabrechnung!O124*$D$5*(1+$D$6)</f>
        <v/>
      </c>
      <c r="AO47" s="40">
        <f>Monatsabrechnung!P124*$D$5*(1+$D$6)</f>
        <v/>
      </c>
      <c r="AP47" s="28">
        <f>SUM(AD47:AO47)</f>
        <v/>
      </c>
      <c r="AQ47" s="59">
        <f>P47+AC47+AP47</f>
        <v/>
      </c>
    </row>
    <row r="48">
      <c r="A48" s="91">
        <f>Stammdaten!A48</f>
        <v/>
      </c>
      <c r="B48" s="73">
        <f>Stammdaten!B48</f>
        <v/>
      </c>
      <c r="C48" s="73">
        <f>Stammdaten!C48</f>
        <v/>
      </c>
      <c r="D48" s="40">
        <f>Monatsabrechnung!E127*$D$6</f>
        <v/>
      </c>
      <c r="E48" s="40">
        <f>Monatsabrechnung!F127*$D$6</f>
        <v/>
      </c>
      <c r="F48" s="40">
        <f>Monatsabrechnung!G127*$D$6</f>
        <v/>
      </c>
      <c r="G48" s="40">
        <f>Monatsabrechnung!H127*$D$6</f>
        <v/>
      </c>
      <c r="H48" s="40">
        <f>Monatsabrechnung!I127*$D$6</f>
        <v/>
      </c>
      <c r="I48" s="40">
        <f>Monatsabrechnung!J127*$D$6</f>
        <v/>
      </c>
      <c r="J48" s="40">
        <f>Monatsabrechnung!K127*$D$6</f>
        <v/>
      </c>
      <c r="K48" s="40">
        <f>Monatsabrechnung!L127*$D$6</f>
        <v/>
      </c>
      <c r="L48" s="40">
        <f>Monatsabrechnung!M127*$D$6</f>
        <v/>
      </c>
      <c r="M48" s="40">
        <f>Monatsabrechnung!N127*$D$6</f>
        <v/>
      </c>
      <c r="N48" s="40">
        <f>Monatsabrechnung!O127*$D$6</f>
        <v/>
      </c>
      <c r="O48" s="40">
        <f>Monatsabrechnung!P127*$D$6</f>
        <v/>
      </c>
      <c r="P48" s="28">
        <f>SUM(D48:O48)</f>
        <v/>
      </c>
      <c r="Q48" s="40">
        <f>Monatsabrechnung!E127*$D$4*(1+$D$6)</f>
        <v/>
      </c>
      <c r="R48" s="40">
        <f>Monatsabrechnung!F127*$D$4*(1+$D$6)</f>
        <v/>
      </c>
      <c r="S48" s="40">
        <f>Monatsabrechnung!G127*$D$4*(1+$D$6)</f>
        <v/>
      </c>
      <c r="T48" s="40">
        <f>Monatsabrechnung!H127*$D$4*(1+$D$6)</f>
        <v/>
      </c>
      <c r="U48" s="40">
        <f>Monatsabrechnung!I127*$D$4*(1+$D$6)</f>
        <v/>
      </c>
      <c r="V48" s="40">
        <f>Monatsabrechnung!J127*$D$4*(1+$D$6)</f>
        <v/>
      </c>
      <c r="W48" s="40">
        <f>Monatsabrechnung!K127*$D$4*(1+$D$6)</f>
        <v/>
      </c>
      <c r="X48" s="40">
        <f>Monatsabrechnung!L127*$D$4*(1+$D$6)</f>
        <v/>
      </c>
      <c r="Y48" s="40">
        <f>Monatsabrechnung!M127*$D$4*(1+$D$6)</f>
        <v/>
      </c>
      <c r="Z48" s="40">
        <f>Monatsabrechnung!N127*$D$4*(1+$D$6)</f>
        <v/>
      </c>
      <c r="AA48" s="40">
        <f>Monatsabrechnung!O127*$D$4*(1+$D$6)</f>
        <v/>
      </c>
      <c r="AB48" s="40">
        <f>Monatsabrechnung!P127*$D$4*(1+$D$6)</f>
        <v/>
      </c>
      <c r="AC48" s="28">
        <f>SUM(Q48:AB48)</f>
        <v/>
      </c>
      <c r="AD48" s="40">
        <f>Monatsabrechnung!E127*$D$5*(1+$D$6)</f>
        <v/>
      </c>
      <c r="AE48" s="40">
        <f>Monatsabrechnung!F127*$D$5*(1+$D$6)</f>
        <v/>
      </c>
      <c r="AF48" s="40">
        <f>Monatsabrechnung!G127*$D$5*(1+$D$6)</f>
        <v/>
      </c>
      <c r="AG48" s="40">
        <f>Monatsabrechnung!H127*$D$5*(1+$D$6)</f>
        <v/>
      </c>
      <c r="AH48" s="40">
        <f>Monatsabrechnung!I127*$D$5*(1+$D$6)</f>
        <v/>
      </c>
      <c r="AI48" s="40">
        <f>Monatsabrechnung!J127*$D$5*(1+$D$6)</f>
        <v/>
      </c>
      <c r="AJ48" s="40">
        <f>Monatsabrechnung!K127*$D$5*(1+$D$6)</f>
        <v/>
      </c>
      <c r="AK48" s="40">
        <f>Monatsabrechnung!L127*$D$5*(1+$D$6)</f>
        <v/>
      </c>
      <c r="AL48" s="40">
        <f>Monatsabrechnung!M127*$D$5*(1+$D$6)</f>
        <v/>
      </c>
      <c r="AM48" s="40">
        <f>Monatsabrechnung!N127*$D$5*(1+$D$6)</f>
        <v/>
      </c>
      <c r="AN48" s="40">
        <f>Monatsabrechnung!O127*$D$5*(1+$D$6)</f>
        <v/>
      </c>
      <c r="AO48" s="40">
        <f>Monatsabrechnung!P127*$D$5*(1+$D$6)</f>
        <v/>
      </c>
      <c r="AP48" s="28">
        <f>SUM(AD48:AO48)</f>
        <v/>
      </c>
      <c r="AQ48" s="59">
        <f>P48+AC48+AP48</f>
        <v/>
      </c>
    </row>
    <row r="49">
      <c r="A49" s="89">
        <f>Stammdaten!A49</f>
        <v/>
      </c>
      <c r="B49" s="67">
        <f>Stammdaten!B49</f>
        <v/>
      </c>
      <c r="C49" s="67">
        <f>Stammdaten!C49</f>
        <v/>
      </c>
      <c r="D49" s="40">
        <f>Monatsabrechnung!E130*$D$6</f>
        <v/>
      </c>
      <c r="E49" s="40">
        <f>Monatsabrechnung!F130*$D$6</f>
        <v/>
      </c>
      <c r="F49" s="40">
        <f>Monatsabrechnung!G130*$D$6</f>
        <v/>
      </c>
      <c r="G49" s="40">
        <f>Monatsabrechnung!H130*$D$6</f>
        <v/>
      </c>
      <c r="H49" s="40">
        <f>Monatsabrechnung!I130*$D$6</f>
        <v/>
      </c>
      <c r="I49" s="40">
        <f>Monatsabrechnung!J130*$D$6</f>
        <v/>
      </c>
      <c r="J49" s="40">
        <f>Monatsabrechnung!K130*$D$6</f>
        <v/>
      </c>
      <c r="K49" s="40">
        <f>Monatsabrechnung!L130*$D$6</f>
        <v/>
      </c>
      <c r="L49" s="40">
        <f>Monatsabrechnung!M130*$D$6</f>
        <v/>
      </c>
      <c r="M49" s="40">
        <f>Monatsabrechnung!N130*$D$6</f>
        <v/>
      </c>
      <c r="N49" s="40">
        <f>Monatsabrechnung!O130*$D$6</f>
        <v/>
      </c>
      <c r="O49" s="40">
        <f>Monatsabrechnung!P130*$D$6</f>
        <v/>
      </c>
      <c r="P49" s="28">
        <f>SUM(D49:O49)</f>
        <v/>
      </c>
      <c r="Q49" s="40">
        <f>Monatsabrechnung!E130*$D$4*(1+$D$6)</f>
        <v/>
      </c>
      <c r="R49" s="40">
        <f>Monatsabrechnung!F130*$D$4*(1+$D$6)</f>
        <v/>
      </c>
      <c r="S49" s="40">
        <f>Monatsabrechnung!G130*$D$4*(1+$D$6)</f>
        <v/>
      </c>
      <c r="T49" s="40">
        <f>Monatsabrechnung!H130*$D$4*(1+$D$6)</f>
        <v/>
      </c>
      <c r="U49" s="40">
        <f>Monatsabrechnung!I130*$D$4*(1+$D$6)</f>
        <v/>
      </c>
      <c r="V49" s="40">
        <f>Monatsabrechnung!J130*$D$4*(1+$D$6)</f>
        <v/>
      </c>
      <c r="W49" s="40">
        <f>Monatsabrechnung!K130*$D$4*(1+$D$6)</f>
        <v/>
      </c>
      <c r="X49" s="40">
        <f>Monatsabrechnung!L130*$D$4*(1+$D$6)</f>
        <v/>
      </c>
      <c r="Y49" s="40">
        <f>Monatsabrechnung!M130*$D$4*(1+$D$6)</f>
        <v/>
      </c>
      <c r="Z49" s="40">
        <f>Monatsabrechnung!N130*$D$4*(1+$D$6)</f>
        <v/>
      </c>
      <c r="AA49" s="40">
        <f>Monatsabrechnung!O130*$D$4*(1+$D$6)</f>
        <v/>
      </c>
      <c r="AB49" s="40">
        <f>Monatsabrechnung!P130*$D$4*(1+$D$6)</f>
        <v/>
      </c>
      <c r="AC49" s="28">
        <f>SUM(Q49:AB49)</f>
        <v/>
      </c>
      <c r="AD49" s="40">
        <f>Monatsabrechnung!E130*$D$5*(1+$D$6)</f>
        <v/>
      </c>
      <c r="AE49" s="40">
        <f>Monatsabrechnung!F130*$D$5*(1+$D$6)</f>
        <v/>
      </c>
      <c r="AF49" s="40">
        <f>Monatsabrechnung!G130*$D$5*(1+$D$6)</f>
        <v/>
      </c>
      <c r="AG49" s="40">
        <f>Monatsabrechnung!H130*$D$5*(1+$D$6)</f>
        <v/>
      </c>
      <c r="AH49" s="40">
        <f>Monatsabrechnung!I130*$D$5*(1+$D$6)</f>
        <v/>
      </c>
      <c r="AI49" s="40">
        <f>Monatsabrechnung!J130*$D$5*(1+$D$6)</f>
        <v/>
      </c>
      <c r="AJ49" s="40">
        <f>Monatsabrechnung!K130*$D$5*(1+$D$6)</f>
        <v/>
      </c>
      <c r="AK49" s="40">
        <f>Monatsabrechnung!L130*$D$5*(1+$D$6)</f>
        <v/>
      </c>
      <c r="AL49" s="40">
        <f>Monatsabrechnung!M130*$D$5*(1+$D$6)</f>
        <v/>
      </c>
      <c r="AM49" s="40">
        <f>Monatsabrechnung!N130*$D$5*(1+$D$6)</f>
        <v/>
      </c>
      <c r="AN49" s="40">
        <f>Monatsabrechnung!O130*$D$5*(1+$D$6)</f>
        <v/>
      </c>
      <c r="AO49" s="40">
        <f>Monatsabrechnung!P130*$D$5*(1+$D$6)</f>
        <v/>
      </c>
      <c r="AP49" s="28">
        <f>SUM(AD49:AO49)</f>
        <v/>
      </c>
      <c r="AQ49" s="59">
        <f>P49+AC49+AP49</f>
        <v/>
      </c>
    </row>
    <row r="50">
      <c r="A50" s="89">
        <f>Stammdaten!A50</f>
        <v/>
      </c>
      <c r="B50" s="67">
        <f>Stammdaten!B50</f>
        <v/>
      </c>
      <c r="C50" s="67">
        <f>Stammdaten!C50</f>
        <v/>
      </c>
      <c r="D50" s="40">
        <f>Monatsabrechnung!E133*$D$6</f>
        <v/>
      </c>
      <c r="E50" s="40">
        <f>Monatsabrechnung!F133*$D$6</f>
        <v/>
      </c>
      <c r="F50" s="40">
        <f>Monatsabrechnung!G133*$D$6</f>
        <v/>
      </c>
      <c r="G50" s="40">
        <f>Monatsabrechnung!H133*$D$6</f>
        <v/>
      </c>
      <c r="H50" s="40">
        <f>Monatsabrechnung!I133*$D$6</f>
        <v/>
      </c>
      <c r="I50" s="40">
        <f>Monatsabrechnung!J133*$D$6</f>
        <v/>
      </c>
      <c r="J50" s="40">
        <f>Monatsabrechnung!K133*$D$6</f>
        <v/>
      </c>
      <c r="K50" s="40">
        <f>Monatsabrechnung!L133*$D$6</f>
        <v/>
      </c>
      <c r="L50" s="40">
        <f>Monatsabrechnung!M133*$D$6</f>
        <v/>
      </c>
      <c r="M50" s="40">
        <f>Monatsabrechnung!N133*$D$6</f>
        <v/>
      </c>
      <c r="N50" s="40">
        <f>Monatsabrechnung!O133*$D$6</f>
        <v/>
      </c>
      <c r="O50" s="40">
        <f>Monatsabrechnung!P133*$D$6</f>
        <v/>
      </c>
      <c r="P50" s="28">
        <f>SUM(D50:O50)</f>
        <v/>
      </c>
      <c r="Q50" s="40">
        <f>Monatsabrechnung!E133*$D$4*(1+$D$6)</f>
        <v/>
      </c>
      <c r="R50" s="40">
        <f>Monatsabrechnung!F133*$D$4*(1+$D$6)</f>
        <v/>
      </c>
      <c r="S50" s="40">
        <f>Monatsabrechnung!G133*$D$4*(1+$D$6)</f>
        <v/>
      </c>
      <c r="T50" s="40">
        <f>Monatsabrechnung!H133*$D$4*(1+$D$6)</f>
        <v/>
      </c>
      <c r="U50" s="40">
        <f>Monatsabrechnung!I133*$D$4*(1+$D$6)</f>
        <v/>
      </c>
      <c r="V50" s="40">
        <f>Monatsabrechnung!J133*$D$4*(1+$D$6)</f>
        <v/>
      </c>
      <c r="W50" s="40">
        <f>Monatsabrechnung!K133*$D$4*(1+$D$6)</f>
        <v/>
      </c>
      <c r="X50" s="40">
        <f>Monatsabrechnung!L133*$D$4*(1+$D$6)</f>
        <v/>
      </c>
      <c r="Y50" s="40">
        <f>Monatsabrechnung!M133*$D$4*(1+$D$6)</f>
        <v/>
      </c>
      <c r="Z50" s="40">
        <f>Monatsabrechnung!N133*$D$4*(1+$D$6)</f>
        <v/>
      </c>
      <c r="AA50" s="40">
        <f>Monatsabrechnung!O133*$D$4*(1+$D$6)</f>
        <v/>
      </c>
      <c r="AB50" s="40">
        <f>Monatsabrechnung!P133*$D$4*(1+$D$6)</f>
        <v/>
      </c>
      <c r="AC50" s="28">
        <f>SUM(Q50:AB50)</f>
        <v/>
      </c>
      <c r="AD50" s="40">
        <f>Monatsabrechnung!E133*$D$5*(1+$D$6)</f>
        <v/>
      </c>
      <c r="AE50" s="40">
        <f>Monatsabrechnung!F133*$D$5*(1+$D$6)</f>
        <v/>
      </c>
      <c r="AF50" s="40">
        <f>Monatsabrechnung!G133*$D$5*(1+$D$6)</f>
        <v/>
      </c>
      <c r="AG50" s="40">
        <f>Monatsabrechnung!H133*$D$5*(1+$D$6)</f>
        <v/>
      </c>
      <c r="AH50" s="40">
        <f>Monatsabrechnung!I133*$D$5*(1+$D$6)</f>
        <v/>
      </c>
      <c r="AI50" s="40">
        <f>Monatsabrechnung!J133*$D$5*(1+$D$6)</f>
        <v/>
      </c>
      <c r="AJ50" s="40">
        <f>Monatsabrechnung!K133*$D$5*(1+$D$6)</f>
        <v/>
      </c>
      <c r="AK50" s="40">
        <f>Monatsabrechnung!L133*$D$5*(1+$D$6)</f>
        <v/>
      </c>
      <c r="AL50" s="40">
        <f>Monatsabrechnung!M133*$D$5*(1+$D$6)</f>
        <v/>
      </c>
      <c r="AM50" s="40">
        <f>Monatsabrechnung!N133*$D$5*(1+$D$6)</f>
        <v/>
      </c>
      <c r="AN50" s="40">
        <f>Monatsabrechnung!O133*$D$5*(1+$D$6)</f>
        <v/>
      </c>
      <c r="AO50" s="40">
        <f>Monatsabrechnung!P133*$D$5*(1+$D$6)</f>
        <v/>
      </c>
      <c r="AP50" s="28">
        <f>SUM(AD50:AO50)</f>
        <v/>
      </c>
      <c r="AQ50" s="59">
        <f>P50+AC50+AP50</f>
        <v/>
      </c>
    </row>
    <row r="51">
      <c r="A51" s="89">
        <f>Stammdaten!A51</f>
        <v/>
      </c>
      <c r="B51" s="67">
        <f>Stammdaten!B51</f>
        <v/>
      </c>
      <c r="C51" s="67">
        <f>Stammdaten!C51</f>
        <v/>
      </c>
      <c r="D51" s="40">
        <f>Monatsabrechnung!E136*$D$6</f>
        <v/>
      </c>
      <c r="E51" s="40">
        <f>Monatsabrechnung!F136*$D$6</f>
        <v/>
      </c>
      <c r="F51" s="40">
        <f>Monatsabrechnung!G136*$D$6</f>
        <v/>
      </c>
      <c r="G51" s="40">
        <f>Monatsabrechnung!H136*$D$6</f>
        <v/>
      </c>
      <c r="H51" s="40">
        <f>Monatsabrechnung!I136*$D$6</f>
        <v/>
      </c>
      <c r="I51" s="40">
        <f>Monatsabrechnung!J136*$D$6</f>
        <v/>
      </c>
      <c r="J51" s="40">
        <f>Monatsabrechnung!K136*$D$6</f>
        <v/>
      </c>
      <c r="K51" s="40">
        <f>Monatsabrechnung!L136*$D$6</f>
        <v/>
      </c>
      <c r="L51" s="40">
        <f>Monatsabrechnung!M136*$D$6</f>
        <v/>
      </c>
      <c r="M51" s="40">
        <f>Monatsabrechnung!N136*$D$6</f>
        <v/>
      </c>
      <c r="N51" s="40">
        <f>Monatsabrechnung!O136*$D$6</f>
        <v/>
      </c>
      <c r="O51" s="40">
        <f>Monatsabrechnung!P136*$D$6</f>
        <v/>
      </c>
      <c r="P51" s="28">
        <f>SUM(D51:O51)</f>
        <v/>
      </c>
      <c r="Q51" s="40">
        <f>Monatsabrechnung!E136*$D$4*(1+$D$6)</f>
        <v/>
      </c>
      <c r="R51" s="40">
        <f>Monatsabrechnung!F136*$D$4*(1+$D$6)</f>
        <v/>
      </c>
      <c r="S51" s="40">
        <f>Monatsabrechnung!G136*$D$4*(1+$D$6)</f>
        <v/>
      </c>
      <c r="T51" s="40">
        <f>Monatsabrechnung!H136*$D$4*(1+$D$6)</f>
        <v/>
      </c>
      <c r="U51" s="40">
        <f>Monatsabrechnung!I136*$D$4*(1+$D$6)</f>
        <v/>
      </c>
      <c r="V51" s="40">
        <f>Monatsabrechnung!J136*$D$4*(1+$D$6)</f>
        <v/>
      </c>
      <c r="W51" s="40">
        <f>Monatsabrechnung!K136*$D$4*(1+$D$6)</f>
        <v/>
      </c>
      <c r="X51" s="40">
        <f>Monatsabrechnung!L136*$D$4*(1+$D$6)</f>
        <v/>
      </c>
      <c r="Y51" s="40">
        <f>Monatsabrechnung!M136*$D$4*(1+$D$6)</f>
        <v/>
      </c>
      <c r="Z51" s="40">
        <f>Monatsabrechnung!N136*$D$4*(1+$D$6)</f>
        <v/>
      </c>
      <c r="AA51" s="40">
        <f>Monatsabrechnung!O136*$D$4*(1+$D$6)</f>
        <v/>
      </c>
      <c r="AB51" s="40">
        <f>Monatsabrechnung!P136*$D$4*(1+$D$6)</f>
        <v/>
      </c>
      <c r="AC51" s="28">
        <f>SUM(Q51:AB51)</f>
        <v/>
      </c>
      <c r="AD51" s="40">
        <f>Monatsabrechnung!E136*$D$5*(1+$D$6)</f>
        <v/>
      </c>
      <c r="AE51" s="40">
        <f>Monatsabrechnung!F136*$D$5*(1+$D$6)</f>
        <v/>
      </c>
      <c r="AF51" s="40">
        <f>Monatsabrechnung!G136*$D$5*(1+$D$6)</f>
        <v/>
      </c>
      <c r="AG51" s="40">
        <f>Monatsabrechnung!H136*$D$5*(1+$D$6)</f>
        <v/>
      </c>
      <c r="AH51" s="40">
        <f>Monatsabrechnung!I136*$D$5*(1+$D$6)</f>
        <v/>
      </c>
      <c r="AI51" s="40">
        <f>Monatsabrechnung!J136*$D$5*(1+$D$6)</f>
        <v/>
      </c>
      <c r="AJ51" s="40">
        <f>Monatsabrechnung!K136*$D$5*(1+$D$6)</f>
        <v/>
      </c>
      <c r="AK51" s="40">
        <f>Monatsabrechnung!L136*$D$5*(1+$D$6)</f>
        <v/>
      </c>
      <c r="AL51" s="40">
        <f>Monatsabrechnung!M136*$D$5*(1+$D$6)</f>
        <v/>
      </c>
      <c r="AM51" s="40">
        <f>Monatsabrechnung!N136*$D$5*(1+$D$6)</f>
        <v/>
      </c>
      <c r="AN51" s="40">
        <f>Monatsabrechnung!O136*$D$5*(1+$D$6)</f>
        <v/>
      </c>
      <c r="AO51" s="40">
        <f>Monatsabrechnung!P136*$D$5*(1+$D$6)</f>
        <v/>
      </c>
      <c r="AP51" s="28">
        <f>SUM(AD51:AO51)</f>
        <v/>
      </c>
      <c r="AQ51" s="59">
        <f>P51+AC51+AP51</f>
        <v/>
      </c>
    </row>
    <row r="52">
      <c r="A52" s="89">
        <f>Stammdaten!A52</f>
        <v/>
      </c>
      <c r="B52" s="67">
        <f>Stammdaten!B52</f>
        <v/>
      </c>
      <c r="C52" s="67">
        <f>Stammdaten!C52</f>
        <v/>
      </c>
      <c r="D52" s="40">
        <f>Monatsabrechnung!E139*$D$6</f>
        <v/>
      </c>
      <c r="E52" s="40">
        <f>Monatsabrechnung!F139*$D$6</f>
        <v/>
      </c>
      <c r="F52" s="40">
        <f>Monatsabrechnung!G139*$D$6</f>
        <v/>
      </c>
      <c r="G52" s="40">
        <f>Monatsabrechnung!H139*$D$6</f>
        <v/>
      </c>
      <c r="H52" s="40">
        <f>Monatsabrechnung!I139*$D$6</f>
        <v/>
      </c>
      <c r="I52" s="40">
        <f>Monatsabrechnung!J139*$D$6</f>
        <v/>
      </c>
      <c r="J52" s="40">
        <f>Monatsabrechnung!K139*$D$6</f>
        <v/>
      </c>
      <c r="K52" s="40">
        <f>Monatsabrechnung!L139*$D$6</f>
        <v/>
      </c>
      <c r="L52" s="40">
        <f>Monatsabrechnung!M139*$D$6</f>
        <v/>
      </c>
      <c r="M52" s="40">
        <f>Monatsabrechnung!N139*$D$6</f>
        <v/>
      </c>
      <c r="N52" s="40">
        <f>Monatsabrechnung!O139*$D$6</f>
        <v/>
      </c>
      <c r="O52" s="40">
        <f>Monatsabrechnung!P139*$D$6</f>
        <v/>
      </c>
      <c r="P52" s="28">
        <f>SUM(D52:O52)</f>
        <v/>
      </c>
      <c r="Q52" s="40">
        <f>Monatsabrechnung!E139*$D$4*(1+$D$6)</f>
        <v/>
      </c>
      <c r="R52" s="40">
        <f>Monatsabrechnung!F139*$D$4*(1+$D$6)</f>
        <v/>
      </c>
      <c r="S52" s="40">
        <f>Monatsabrechnung!G139*$D$4*(1+$D$6)</f>
        <v/>
      </c>
      <c r="T52" s="40">
        <f>Monatsabrechnung!H139*$D$4*(1+$D$6)</f>
        <v/>
      </c>
      <c r="U52" s="40">
        <f>Monatsabrechnung!I139*$D$4*(1+$D$6)</f>
        <v/>
      </c>
      <c r="V52" s="40">
        <f>Monatsabrechnung!J139*$D$4*(1+$D$6)</f>
        <v/>
      </c>
      <c r="W52" s="40">
        <f>Monatsabrechnung!K139*$D$4*(1+$D$6)</f>
        <v/>
      </c>
      <c r="X52" s="40">
        <f>Monatsabrechnung!L139*$D$4*(1+$D$6)</f>
        <v/>
      </c>
      <c r="Y52" s="40">
        <f>Monatsabrechnung!M139*$D$4*(1+$D$6)</f>
        <v/>
      </c>
      <c r="Z52" s="40">
        <f>Monatsabrechnung!N139*$D$4*(1+$D$6)</f>
        <v/>
      </c>
      <c r="AA52" s="40">
        <f>Monatsabrechnung!O139*$D$4*(1+$D$6)</f>
        <v/>
      </c>
      <c r="AB52" s="40">
        <f>Monatsabrechnung!P139*$D$4*(1+$D$6)</f>
        <v/>
      </c>
      <c r="AC52" s="28">
        <f>SUM(Q52:AB52)</f>
        <v/>
      </c>
      <c r="AD52" s="40">
        <f>Monatsabrechnung!E139*$D$5*(1+$D$6)</f>
        <v/>
      </c>
      <c r="AE52" s="40">
        <f>Monatsabrechnung!F139*$D$5*(1+$D$6)</f>
        <v/>
      </c>
      <c r="AF52" s="40">
        <f>Monatsabrechnung!G139*$D$5*(1+$D$6)</f>
        <v/>
      </c>
      <c r="AG52" s="40">
        <f>Monatsabrechnung!H139*$D$5*(1+$D$6)</f>
        <v/>
      </c>
      <c r="AH52" s="40">
        <f>Monatsabrechnung!I139*$D$5*(1+$D$6)</f>
        <v/>
      </c>
      <c r="AI52" s="40">
        <f>Monatsabrechnung!J139*$D$5*(1+$D$6)</f>
        <v/>
      </c>
      <c r="AJ52" s="40">
        <f>Monatsabrechnung!K139*$D$5*(1+$D$6)</f>
        <v/>
      </c>
      <c r="AK52" s="40">
        <f>Monatsabrechnung!L139*$D$5*(1+$D$6)</f>
        <v/>
      </c>
      <c r="AL52" s="40">
        <f>Monatsabrechnung!M139*$D$5*(1+$D$6)</f>
        <v/>
      </c>
      <c r="AM52" s="40">
        <f>Monatsabrechnung!N139*$D$5*(1+$D$6)</f>
        <v/>
      </c>
      <c r="AN52" s="40">
        <f>Monatsabrechnung!O139*$D$5*(1+$D$6)</f>
        <v/>
      </c>
      <c r="AO52" s="40">
        <f>Monatsabrechnung!P139*$D$5*(1+$D$6)</f>
        <v/>
      </c>
      <c r="AP52" s="28">
        <f>SUM(AD52:AO52)</f>
        <v/>
      </c>
      <c r="AQ52" s="59">
        <f>P52+AC52+AP52</f>
        <v/>
      </c>
    </row>
    <row r="53">
      <c r="A53" s="89">
        <f>Stammdaten!A53</f>
        <v/>
      </c>
      <c r="B53" s="67">
        <f>Stammdaten!B53</f>
        <v/>
      </c>
      <c r="C53" s="67">
        <f>Stammdaten!C53</f>
        <v/>
      </c>
      <c r="D53" s="40">
        <f>Monatsabrechnung!E142*$D$6</f>
        <v/>
      </c>
      <c r="E53" s="40">
        <f>Monatsabrechnung!F142*$D$6</f>
        <v/>
      </c>
      <c r="F53" s="40">
        <f>Monatsabrechnung!G142*$D$6</f>
        <v/>
      </c>
      <c r="G53" s="40">
        <f>Monatsabrechnung!H142*$D$6</f>
        <v/>
      </c>
      <c r="H53" s="40">
        <f>Monatsabrechnung!I142*$D$6</f>
        <v/>
      </c>
      <c r="I53" s="40">
        <f>Monatsabrechnung!J142*$D$6</f>
        <v/>
      </c>
      <c r="J53" s="40">
        <f>Monatsabrechnung!K142*$D$6</f>
        <v/>
      </c>
      <c r="K53" s="40">
        <f>Monatsabrechnung!L142*$D$6</f>
        <v/>
      </c>
      <c r="L53" s="40">
        <f>Monatsabrechnung!M142*$D$6</f>
        <v/>
      </c>
      <c r="M53" s="40">
        <f>Monatsabrechnung!N142*$D$6</f>
        <v/>
      </c>
      <c r="N53" s="40">
        <f>Monatsabrechnung!O142*$D$6</f>
        <v/>
      </c>
      <c r="O53" s="40">
        <f>Monatsabrechnung!P142*$D$6</f>
        <v/>
      </c>
      <c r="P53" s="28">
        <f>SUM(D53:O53)</f>
        <v/>
      </c>
      <c r="Q53" s="40">
        <f>Monatsabrechnung!E142*$D$4*(1+$D$6)</f>
        <v/>
      </c>
      <c r="R53" s="40">
        <f>Monatsabrechnung!F142*$D$4*(1+$D$6)</f>
        <v/>
      </c>
      <c r="S53" s="40">
        <f>Monatsabrechnung!G142*$D$4*(1+$D$6)</f>
        <v/>
      </c>
      <c r="T53" s="40">
        <f>Monatsabrechnung!H142*$D$4*(1+$D$6)</f>
        <v/>
      </c>
      <c r="U53" s="40">
        <f>Monatsabrechnung!I142*$D$4*(1+$D$6)</f>
        <v/>
      </c>
      <c r="V53" s="40">
        <f>Monatsabrechnung!J142*$D$4*(1+$D$6)</f>
        <v/>
      </c>
      <c r="W53" s="40">
        <f>Monatsabrechnung!K142*$D$4*(1+$D$6)</f>
        <v/>
      </c>
      <c r="X53" s="40">
        <f>Monatsabrechnung!L142*$D$4*(1+$D$6)</f>
        <v/>
      </c>
      <c r="Y53" s="40">
        <f>Monatsabrechnung!M142*$D$4*(1+$D$6)</f>
        <v/>
      </c>
      <c r="Z53" s="40">
        <f>Monatsabrechnung!N142*$D$4*(1+$D$6)</f>
        <v/>
      </c>
      <c r="AA53" s="40">
        <f>Monatsabrechnung!O142*$D$4*(1+$D$6)</f>
        <v/>
      </c>
      <c r="AB53" s="40">
        <f>Monatsabrechnung!P142*$D$4*(1+$D$6)</f>
        <v/>
      </c>
      <c r="AC53" s="28">
        <f>SUM(Q53:AB53)</f>
        <v/>
      </c>
      <c r="AD53" s="40">
        <f>Monatsabrechnung!E142*$D$5*(1+$D$6)</f>
        <v/>
      </c>
      <c r="AE53" s="40">
        <f>Monatsabrechnung!F142*$D$5*(1+$D$6)</f>
        <v/>
      </c>
      <c r="AF53" s="40">
        <f>Monatsabrechnung!G142*$D$5*(1+$D$6)</f>
        <v/>
      </c>
      <c r="AG53" s="40">
        <f>Monatsabrechnung!H142*$D$5*(1+$D$6)</f>
        <v/>
      </c>
      <c r="AH53" s="40">
        <f>Monatsabrechnung!I142*$D$5*(1+$D$6)</f>
        <v/>
      </c>
      <c r="AI53" s="40">
        <f>Monatsabrechnung!J142*$D$5*(1+$D$6)</f>
        <v/>
      </c>
      <c r="AJ53" s="40">
        <f>Monatsabrechnung!K142*$D$5*(1+$D$6)</f>
        <v/>
      </c>
      <c r="AK53" s="40">
        <f>Monatsabrechnung!L142*$D$5*(1+$D$6)</f>
        <v/>
      </c>
      <c r="AL53" s="40">
        <f>Monatsabrechnung!M142*$D$5*(1+$D$6)</f>
        <v/>
      </c>
      <c r="AM53" s="40">
        <f>Monatsabrechnung!N142*$D$5*(1+$D$6)</f>
        <v/>
      </c>
      <c r="AN53" s="40">
        <f>Monatsabrechnung!O142*$D$5*(1+$D$6)</f>
        <v/>
      </c>
      <c r="AO53" s="40">
        <f>Monatsabrechnung!P142*$D$5*(1+$D$6)</f>
        <v/>
      </c>
      <c r="AP53" s="28">
        <f>SUM(AD53:AO53)</f>
        <v/>
      </c>
      <c r="AQ53" s="59">
        <f>P53+AC53+AP53</f>
        <v/>
      </c>
    </row>
    <row r="54">
      <c r="A54" s="89">
        <f>Stammdaten!A54</f>
        <v/>
      </c>
      <c r="B54" s="67">
        <f>Stammdaten!B54</f>
        <v/>
      </c>
      <c r="C54" s="67">
        <f>Stammdaten!C54</f>
        <v/>
      </c>
      <c r="D54" s="40">
        <f>Monatsabrechnung!E145*$D$6</f>
        <v/>
      </c>
      <c r="E54" s="40">
        <f>Monatsabrechnung!F145*$D$6</f>
        <v/>
      </c>
      <c r="F54" s="40">
        <f>Monatsabrechnung!G145*$D$6</f>
        <v/>
      </c>
      <c r="G54" s="40">
        <f>Monatsabrechnung!H145*$D$6</f>
        <v/>
      </c>
      <c r="H54" s="40">
        <f>Monatsabrechnung!I145*$D$6</f>
        <v/>
      </c>
      <c r="I54" s="40">
        <f>Monatsabrechnung!J145*$D$6</f>
        <v/>
      </c>
      <c r="J54" s="40">
        <f>Monatsabrechnung!K145*$D$6</f>
        <v/>
      </c>
      <c r="K54" s="40">
        <f>Monatsabrechnung!L145*$D$6</f>
        <v/>
      </c>
      <c r="L54" s="40">
        <f>Monatsabrechnung!M145*$D$6</f>
        <v/>
      </c>
      <c r="M54" s="40">
        <f>Monatsabrechnung!N145*$D$6</f>
        <v/>
      </c>
      <c r="N54" s="40">
        <f>Monatsabrechnung!O145*$D$6</f>
        <v/>
      </c>
      <c r="O54" s="40">
        <f>Monatsabrechnung!P145*$D$6</f>
        <v/>
      </c>
      <c r="P54" s="28">
        <f>SUM(D54:O54)</f>
        <v/>
      </c>
      <c r="Q54" s="40">
        <f>Monatsabrechnung!E145*$D$4*(1+$D$6)</f>
        <v/>
      </c>
      <c r="R54" s="40">
        <f>Monatsabrechnung!F145*$D$4*(1+$D$6)</f>
        <v/>
      </c>
      <c r="S54" s="40">
        <f>Monatsabrechnung!G145*$D$4*(1+$D$6)</f>
        <v/>
      </c>
      <c r="T54" s="40">
        <f>Monatsabrechnung!H145*$D$4*(1+$D$6)</f>
        <v/>
      </c>
      <c r="U54" s="40">
        <f>Monatsabrechnung!I145*$D$4*(1+$D$6)</f>
        <v/>
      </c>
      <c r="V54" s="40">
        <f>Monatsabrechnung!J145*$D$4*(1+$D$6)</f>
        <v/>
      </c>
      <c r="W54" s="40">
        <f>Monatsabrechnung!K145*$D$4*(1+$D$6)</f>
        <v/>
      </c>
      <c r="X54" s="40">
        <f>Monatsabrechnung!L145*$D$4*(1+$D$6)</f>
        <v/>
      </c>
      <c r="Y54" s="40">
        <f>Monatsabrechnung!M145*$D$4*(1+$D$6)</f>
        <v/>
      </c>
      <c r="Z54" s="40">
        <f>Monatsabrechnung!N145*$D$4*(1+$D$6)</f>
        <v/>
      </c>
      <c r="AA54" s="40">
        <f>Monatsabrechnung!O145*$D$4*(1+$D$6)</f>
        <v/>
      </c>
      <c r="AB54" s="40">
        <f>Monatsabrechnung!P145*$D$4*(1+$D$6)</f>
        <v/>
      </c>
      <c r="AC54" s="28">
        <f>SUM(Q54:AB54)</f>
        <v/>
      </c>
      <c r="AD54" s="40">
        <f>Monatsabrechnung!E145*$D$5*(1+$D$6)</f>
        <v/>
      </c>
      <c r="AE54" s="40">
        <f>Monatsabrechnung!F145*$D$5*(1+$D$6)</f>
        <v/>
      </c>
      <c r="AF54" s="40">
        <f>Monatsabrechnung!G145*$D$5*(1+$D$6)</f>
        <v/>
      </c>
      <c r="AG54" s="40">
        <f>Monatsabrechnung!H145*$D$5*(1+$D$6)</f>
        <v/>
      </c>
      <c r="AH54" s="40">
        <f>Monatsabrechnung!I145*$D$5*(1+$D$6)</f>
        <v/>
      </c>
      <c r="AI54" s="40">
        <f>Monatsabrechnung!J145*$D$5*(1+$D$6)</f>
        <v/>
      </c>
      <c r="AJ54" s="40">
        <f>Monatsabrechnung!K145*$D$5*(1+$D$6)</f>
        <v/>
      </c>
      <c r="AK54" s="40">
        <f>Monatsabrechnung!L145*$D$5*(1+$D$6)</f>
        <v/>
      </c>
      <c r="AL54" s="40">
        <f>Monatsabrechnung!M145*$D$5*(1+$D$6)</f>
        <v/>
      </c>
      <c r="AM54" s="40">
        <f>Monatsabrechnung!N145*$D$5*(1+$D$6)</f>
        <v/>
      </c>
      <c r="AN54" s="40">
        <f>Monatsabrechnung!O145*$D$5*(1+$D$6)</f>
        <v/>
      </c>
      <c r="AO54" s="40">
        <f>Monatsabrechnung!P145*$D$5*(1+$D$6)</f>
        <v/>
      </c>
      <c r="AP54" s="28">
        <f>SUM(AD54:AO54)</f>
        <v/>
      </c>
      <c r="AQ54" s="59">
        <f>P54+AC54+AP54</f>
        <v/>
      </c>
    </row>
    <row r="55">
      <c r="A55" s="89">
        <f>Stammdaten!A55</f>
        <v/>
      </c>
      <c r="B55" s="67">
        <f>Stammdaten!B55</f>
        <v/>
      </c>
      <c r="C55" s="67">
        <f>Stammdaten!C55</f>
        <v/>
      </c>
      <c r="D55" s="40">
        <f>Monatsabrechnung!E148*$D$6</f>
        <v/>
      </c>
      <c r="E55" s="40">
        <f>Monatsabrechnung!F148*$D$6</f>
        <v/>
      </c>
      <c r="F55" s="40">
        <f>Monatsabrechnung!G148*$D$6</f>
        <v/>
      </c>
      <c r="G55" s="40">
        <f>Monatsabrechnung!H148*$D$6</f>
        <v/>
      </c>
      <c r="H55" s="40">
        <f>Monatsabrechnung!I148*$D$6</f>
        <v/>
      </c>
      <c r="I55" s="40">
        <f>Monatsabrechnung!J148*$D$6</f>
        <v/>
      </c>
      <c r="J55" s="40">
        <f>Monatsabrechnung!K148*$D$6</f>
        <v/>
      </c>
      <c r="K55" s="40">
        <f>Monatsabrechnung!L148*$D$6</f>
        <v/>
      </c>
      <c r="L55" s="40">
        <f>Monatsabrechnung!M148*$D$6</f>
        <v/>
      </c>
      <c r="M55" s="40">
        <f>Monatsabrechnung!N148*$D$6</f>
        <v/>
      </c>
      <c r="N55" s="40">
        <f>Monatsabrechnung!O148*$D$6</f>
        <v/>
      </c>
      <c r="O55" s="40">
        <f>Monatsabrechnung!P148*$D$6</f>
        <v/>
      </c>
      <c r="P55" s="28">
        <f>SUM(D55:O55)</f>
        <v/>
      </c>
      <c r="Q55" s="40">
        <f>Monatsabrechnung!E148*$D$4*(1+$D$6)</f>
        <v/>
      </c>
      <c r="R55" s="40">
        <f>Monatsabrechnung!F148*$D$4*(1+$D$6)</f>
        <v/>
      </c>
      <c r="S55" s="40">
        <f>Monatsabrechnung!G148*$D$4*(1+$D$6)</f>
        <v/>
      </c>
      <c r="T55" s="40">
        <f>Monatsabrechnung!H148*$D$4*(1+$D$6)</f>
        <v/>
      </c>
      <c r="U55" s="40">
        <f>Monatsabrechnung!I148*$D$4*(1+$D$6)</f>
        <v/>
      </c>
      <c r="V55" s="40">
        <f>Monatsabrechnung!J148*$D$4*(1+$D$6)</f>
        <v/>
      </c>
      <c r="W55" s="40">
        <f>Monatsabrechnung!K148*$D$4*(1+$D$6)</f>
        <v/>
      </c>
      <c r="X55" s="40">
        <f>Monatsabrechnung!L148*$D$4*(1+$D$6)</f>
        <v/>
      </c>
      <c r="Y55" s="40">
        <f>Monatsabrechnung!M148*$D$4*(1+$D$6)</f>
        <v/>
      </c>
      <c r="Z55" s="40">
        <f>Monatsabrechnung!N148*$D$4*(1+$D$6)</f>
        <v/>
      </c>
      <c r="AA55" s="40">
        <f>Monatsabrechnung!O148*$D$4*(1+$D$6)</f>
        <v/>
      </c>
      <c r="AB55" s="40">
        <f>Monatsabrechnung!P148*$D$4*(1+$D$6)</f>
        <v/>
      </c>
      <c r="AC55" s="28">
        <f>SUM(Q55:AB55)</f>
        <v/>
      </c>
      <c r="AD55" s="40">
        <f>Monatsabrechnung!E148*$D$5*(1+$D$6)</f>
        <v/>
      </c>
      <c r="AE55" s="40">
        <f>Monatsabrechnung!F148*$D$5*(1+$D$6)</f>
        <v/>
      </c>
      <c r="AF55" s="40">
        <f>Monatsabrechnung!G148*$D$5*(1+$D$6)</f>
        <v/>
      </c>
      <c r="AG55" s="40">
        <f>Monatsabrechnung!H148*$D$5*(1+$D$6)</f>
        <v/>
      </c>
      <c r="AH55" s="40">
        <f>Monatsabrechnung!I148*$D$5*(1+$D$6)</f>
        <v/>
      </c>
      <c r="AI55" s="40">
        <f>Monatsabrechnung!J148*$D$5*(1+$D$6)</f>
        <v/>
      </c>
      <c r="AJ55" s="40">
        <f>Monatsabrechnung!K148*$D$5*(1+$D$6)</f>
        <v/>
      </c>
      <c r="AK55" s="40">
        <f>Monatsabrechnung!L148*$D$5*(1+$D$6)</f>
        <v/>
      </c>
      <c r="AL55" s="40">
        <f>Monatsabrechnung!M148*$D$5*(1+$D$6)</f>
        <v/>
      </c>
      <c r="AM55" s="40">
        <f>Monatsabrechnung!N148*$D$5*(1+$D$6)</f>
        <v/>
      </c>
      <c r="AN55" s="40">
        <f>Monatsabrechnung!O148*$D$5*(1+$D$6)</f>
        <v/>
      </c>
      <c r="AO55" s="40">
        <f>Monatsabrechnung!P148*$D$5*(1+$D$6)</f>
        <v/>
      </c>
      <c r="AP55" s="28">
        <f>SUM(AD55:AO55)</f>
        <v/>
      </c>
      <c r="AQ55" s="59">
        <f>P55+AC55+AP55</f>
        <v/>
      </c>
    </row>
    <row r="56">
      <c r="A56" s="89">
        <f>Stammdaten!A56</f>
        <v/>
      </c>
      <c r="B56" s="67">
        <f>Stammdaten!B56</f>
        <v/>
      </c>
      <c r="C56" s="67">
        <f>Stammdaten!C56</f>
        <v/>
      </c>
      <c r="D56" s="40">
        <f>Monatsabrechnung!E151*$D$6</f>
        <v/>
      </c>
      <c r="E56" s="40">
        <f>Monatsabrechnung!F151*$D$6</f>
        <v/>
      </c>
      <c r="F56" s="40">
        <f>Monatsabrechnung!G151*$D$6</f>
        <v/>
      </c>
      <c r="G56" s="40">
        <f>Monatsabrechnung!H151*$D$6</f>
        <v/>
      </c>
      <c r="H56" s="40">
        <f>Monatsabrechnung!I151*$D$6</f>
        <v/>
      </c>
      <c r="I56" s="40">
        <f>Monatsabrechnung!J151*$D$6</f>
        <v/>
      </c>
      <c r="J56" s="40">
        <f>Monatsabrechnung!K151*$D$6</f>
        <v/>
      </c>
      <c r="K56" s="40">
        <f>Monatsabrechnung!L151*$D$6</f>
        <v/>
      </c>
      <c r="L56" s="40">
        <f>Monatsabrechnung!M151*$D$6</f>
        <v/>
      </c>
      <c r="M56" s="40">
        <f>Monatsabrechnung!N151*$D$6</f>
        <v/>
      </c>
      <c r="N56" s="40">
        <f>Monatsabrechnung!O151*$D$6</f>
        <v/>
      </c>
      <c r="O56" s="40">
        <f>Monatsabrechnung!P151*$D$6</f>
        <v/>
      </c>
      <c r="P56" s="28">
        <f>SUM(D56:O56)</f>
        <v/>
      </c>
      <c r="Q56" s="40">
        <f>Monatsabrechnung!E151*$D$4*(1+$D$6)</f>
        <v/>
      </c>
      <c r="R56" s="40">
        <f>Monatsabrechnung!F151*$D$4*(1+$D$6)</f>
        <v/>
      </c>
      <c r="S56" s="40">
        <f>Monatsabrechnung!G151*$D$4*(1+$D$6)</f>
        <v/>
      </c>
      <c r="T56" s="40">
        <f>Monatsabrechnung!H151*$D$4*(1+$D$6)</f>
        <v/>
      </c>
      <c r="U56" s="40">
        <f>Monatsabrechnung!I151*$D$4*(1+$D$6)</f>
        <v/>
      </c>
      <c r="V56" s="40">
        <f>Monatsabrechnung!J151*$D$4*(1+$D$6)</f>
        <v/>
      </c>
      <c r="W56" s="40">
        <f>Monatsabrechnung!K151*$D$4*(1+$D$6)</f>
        <v/>
      </c>
      <c r="X56" s="40">
        <f>Monatsabrechnung!L151*$D$4*(1+$D$6)</f>
        <v/>
      </c>
      <c r="Y56" s="40">
        <f>Monatsabrechnung!M151*$D$4*(1+$D$6)</f>
        <v/>
      </c>
      <c r="Z56" s="40">
        <f>Monatsabrechnung!N151*$D$4*(1+$D$6)</f>
        <v/>
      </c>
      <c r="AA56" s="40">
        <f>Monatsabrechnung!O151*$D$4*(1+$D$6)</f>
        <v/>
      </c>
      <c r="AB56" s="40">
        <f>Monatsabrechnung!P151*$D$4*(1+$D$6)</f>
        <v/>
      </c>
      <c r="AC56" s="28">
        <f>SUM(Q56:AB56)</f>
        <v/>
      </c>
      <c r="AD56" s="40">
        <f>Monatsabrechnung!E151*$D$5*(1+$D$6)</f>
        <v/>
      </c>
      <c r="AE56" s="40">
        <f>Monatsabrechnung!F151*$D$5*(1+$D$6)</f>
        <v/>
      </c>
      <c r="AF56" s="40">
        <f>Monatsabrechnung!G151*$D$5*(1+$D$6)</f>
        <v/>
      </c>
      <c r="AG56" s="40">
        <f>Monatsabrechnung!H151*$D$5*(1+$D$6)</f>
        <v/>
      </c>
      <c r="AH56" s="40">
        <f>Monatsabrechnung!I151*$D$5*(1+$D$6)</f>
        <v/>
      </c>
      <c r="AI56" s="40">
        <f>Monatsabrechnung!J151*$D$5*(1+$D$6)</f>
        <v/>
      </c>
      <c r="AJ56" s="40">
        <f>Monatsabrechnung!K151*$D$5*(1+$D$6)</f>
        <v/>
      </c>
      <c r="AK56" s="40">
        <f>Monatsabrechnung!L151*$D$5*(1+$D$6)</f>
        <v/>
      </c>
      <c r="AL56" s="40">
        <f>Monatsabrechnung!M151*$D$5*(1+$D$6)</f>
        <v/>
      </c>
      <c r="AM56" s="40">
        <f>Monatsabrechnung!N151*$D$5*(1+$D$6)</f>
        <v/>
      </c>
      <c r="AN56" s="40">
        <f>Monatsabrechnung!O151*$D$5*(1+$D$6)</f>
        <v/>
      </c>
      <c r="AO56" s="40">
        <f>Monatsabrechnung!P151*$D$5*(1+$D$6)</f>
        <v/>
      </c>
      <c r="AP56" s="28">
        <f>SUM(AD56:AO56)</f>
        <v/>
      </c>
      <c r="AQ56" s="59">
        <f>P56+AC56+AP56</f>
        <v/>
      </c>
    </row>
    <row r="57">
      <c r="A57" s="89">
        <f>Stammdaten!A57</f>
        <v/>
      </c>
      <c r="B57" s="67">
        <f>Stammdaten!B57</f>
        <v/>
      </c>
      <c r="C57" s="67">
        <f>Stammdaten!C57</f>
        <v/>
      </c>
      <c r="D57" s="40">
        <f>Monatsabrechnung!E154*$D$6</f>
        <v/>
      </c>
      <c r="E57" s="40">
        <f>Monatsabrechnung!F154*$D$6</f>
        <v/>
      </c>
      <c r="F57" s="40">
        <f>Monatsabrechnung!G154*$D$6</f>
        <v/>
      </c>
      <c r="G57" s="40">
        <f>Monatsabrechnung!H154*$D$6</f>
        <v/>
      </c>
      <c r="H57" s="40">
        <f>Monatsabrechnung!I154*$D$6</f>
        <v/>
      </c>
      <c r="I57" s="40">
        <f>Monatsabrechnung!J154*$D$6</f>
        <v/>
      </c>
      <c r="J57" s="40">
        <f>Monatsabrechnung!K154*$D$6</f>
        <v/>
      </c>
      <c r="K57" s="40">
        <f>Monatsabrechnung!L154*$D$6</f>
        <v/>
      </c>
      <c r="L57" s="40">
        <f>Monatsabrechnung!M154*$D$6</f>
        <v/>
      </c>
      <c r="M57" s="40">
        <f>Monatsabrechnung!N154*$D$6</f>
        <v/>
      </c>
      <c r="N57" s="40">
        <f>Monatsabrechnung!O154*$D$6</f>
        <v/>
      </c>
      <c r="O57" s="40">
        <f>Monatsabrechnung!P154*$D$6</f>
        <v/>
      </c>
      <c r="P57" s="28">
        <f>SUM(D57:O57)</f>
        <v/>
      </c>
      <c r="Q57" s="40">
        <f>Monatsabrechnung!E154*$D$4*(1+$D$6)</f>
        <v/>
      </c>
      <c r="R57" s="40">
        <f>Monatsabrechnung!F154*$D$4*(1+$D$6)</f>
        <v/>
      </c>
      <c r="S57" s="40">
        <f>Monatsabrechnung!G154*$D$4*(1+$D$6)</f>
        <v/>
      </c>
      <c r="T57" s="40">
        <f>Monatsabrechnung!H154*$D$4*(1+$D$6)</f>
        <v/>
      </c>
      <c r="U57" s="40">
        <f>Monatsabrechnung!I154*$D$4*(1+$D$6)</f>
        <v/>
      </c>
      <c r="V57" s="40">
        <f>Monatsabrechnung!J154*$D$4*(1+$D$6)</f>
        <v/>
      </c>
      <c r="W57" s="40">
        <f>Monatsabrechnung!K154*$D$4*(1+$D$6)</f>
        <v/>
      </c>
      <c r="X57" s="40">
        <f>Monatsabrechnung!L154*$D$4*(1+$D$6)</f>
        <v/>
      </c>
      <c r="Y57" s="40">
        <f>Monatsabrechnung!M154*$D$4*(1+$D$6)</f>
        <v/>
      </c>
      <c r="Z57" s="40">
        <f>Monatsabrechnung!N154*$D$4*(1+$D$6)</f>
        <v/>
      </c>
      <c r="AA57" s="40">
        <f>Monatsabrechnung!O154*$D$4*(1+$D$6)</f>
        <v/>
      </c>
      <c r="AB57" s="40">
        <f>Monatsabrechnung!P154*$D$4*(1+$D$6)</f>
        <v/>
      </c>
      <c r="AC57" s="28">
        <f>SUM(Q57:AB57)</f>
        <v/>
      </c>
      <c r="AD57" s="40">
        <f>Monatsabrechnung!E154*$D$5*(1+$D$6)</f>
        <v/>
      </c>
      <c r="AE57" s="40">
        <f>Monatsabrechnung!F154*$D$5*(1+$D$6)</f>
        <v/>
      </c>
      <c r="AF57" s="40">
        <f>Monatsabrechnung!G154*$D$5*(1+$D$6)</f>
        <v/>
      </c>
      <c r="AG57" s="40">
        <f>Monatsabrechnung!H154*$D$5*(1+$D$6)</f>
        <v/>
      </c>
      <c r="AH57" s="40">
        <f>Monatsabrechnung!I154*$D$5*(1+$D$6)</f>
        <v/>
      </c>
      <c r="AI57" s="40">
        <f>Monatsabrechnung!J154*$D$5*(1+$D$6)</f>
        <v/>
      </c>
      <c r="AJ57" s="40">
        <f>Monatsabrechnung!K154*$D$5*(1+$D$6)</f>
        <v/>
      </c>
      <c r="AK57" s="40">
        <f>Monatsabrechnung!L154*$D$5*(1+$D$6)</f>
        <v/>
      </c>
      <c r="AL57" s="40">
        <f>Monatsabrechnung!M154*$D$5*(1+$D$6)</f>
        <v/>
      </c>
      <c r="AM57" s="40">
        <f>Monatsabrechnung!N154*$D$5*(1+$D$6)</f>
        <v/>
      </c>
      <c r="AN57" s="40">
        <f>Monatsabrechnung!O154*$D$5*(1+$D$6)</f>
        <v/>
      </c>
      <c r="AO57" s="40">
        <f>Monatsabrechnung!P154*$D$5*(1+$D$6)</f>
        <v/>
      </c>
      <c r="AP57" s="28">
        <f>SUM(AD57:AO57)</f>
        <v/>
      </c>
      <c r="AQ57" s="59">
        <f>P57+AC57+AP57</f>
        <v/>
      </c>
    </row>
    <row r="58">
      <c r="A58" s="89">
        <f>Stammdaten!A58</f>
        <v/>
      </c>
      <c r="B58" s="67">
        <f>Stammdaten!B58</f>
        <v/>
      </c>
      <c r="C58" s="67">
        <f>Stammdaten!C58</f>
        <v/>
      </c>
      <c r="D58" s="40">
        <f>Monatsabrechnung!E157*$D$6</f>
        <v/>
      </c>
      <c r="E58" s="40">
        <f>Monatsabrechnung!F157*$D$6</f>
        <v/>
      </c>
      <c r="F58" s="40">
        <f>Monatsabrechnung!G157*$D$6</f>
        <v/>
      </c>
      <c r="G58" s="40">
        <f>Monatsabrechnung!H157*$D$6</f>
        <v/>
      </c>
      <c r="H58" s="40">
        <f>Monatsabrechnung!I157*$D$6</f>
        <v/>
      </c>
      <c r="I58" s="40">
        <f>Monatsabrechnung!J157*$D$6</f>
        <v/>
      </c>
      <c r="J58" s="40">
        <f>Monatsabrechnung!K157*$D$6</f>
        <v/>
      </c>
      <c r="K58" s="40">
        <f>Monatsabrechnung!L157*$D$6</f>
        <v/>
      </c>
      <c r="L58" s="40">
        <f>Monatsabrechnung!M157*$D$6</f>
        <v/>
      </c>
      <c r="M58" s="40">
        <f>Monatsabrechnung!N157*$D$6</f>
        <v/>
      </c>
      <c r="N58" s="40">
        <f>Monatsabrechnung!O157*$D$6</f>
        <v/>
      </c>
      <c r="O58" s="40">
        <f>Monatsabrechnung!P157*$D$6</f>
        <v/>
      </c>
      <c r="P58" s="28">
        <f>SUM(D58:O58)</f>
        <v/>
      </c>
      <c r="Q58" s="40">
        <f>Monatsabrechnung!E157*$D$4*(1+$D$6)</f>
        <v/>
      </c>
      <c r="R58" s="40">
        <f>Monatsabrechnung!F157*$D$4*(1+$D$6)</f>
        <v/>
      </c>
      <c r="S58" s="40">
        <f>Monatsabrechnung!G157*$D$4*(1+$D$6)</f>
        <v/>
      </c>
      <c r="T58" s="40">
        <f>Monatsabrechnung!H157*$D$4*(1+$D$6)</f>
        <v/>
      </c>
      <c r="U58" s="40">
        <f>Monatsabrechnung!I157*$D$4*(1+$D$6)</f>
        <v/>
      </c>
      <c r="V58" s="40">
        <f>Monatsabrechnung!J157*$D$4*(1+$D$6)</f>
        <v/>
      </c>
      <c r="W58" s="40">
        <f>Monatsabrechnung!K157*$D$4*(1+$D$6)</f>
        <v/>
      </c>
      <c r="X58" s="40">
        <f>Monatsabrechnung!L157*$D$4*(1+$D$6)</f>
        <v/>
      </c>
      <c r="Y58" s="40">
        <f>Monatsabrechnung!M157*$D$4*(1+$D$6)</f>
        <v/>
      </c>
      <c r="Z58" s="40">
        <f>Monatsabrechnung!N157*$D$4*(1+$D$6)</f>
        <v/>
      </c>
      <c r="AA58" s="40">
        <f>Monatsabrechnung!O157*$D$4*(1+$D$6)</f>
        <v/>
      </c>
      <c r="AB58" s="40">
        <f>Monatsabrechnung!P157*$D$4*(1+$D$6)</f>
        <v/>
      </c>
      <c r="AC58" s="28">
        <f>SUM(Q58:AB58)</f>
        <v/>
      </c>
      <c r="AD58" s="40">
        <f>Monatsabrechnung!E157*$D$5*(1+$D$6)</f>
        <v/>
      </c>
      <c r="AE58" s="40">
        <f>Monatsabrechnung!F157*$D$5*(1+$D$6)</f>
        <v/>
      </c>
      <c r="AF58" s="40">
        <f>Monatsabrechnung!G157*$D$5*(1+$D$6)</f>
        <v/>
      </c>
      <c r="AG58" s="40">
        <f>Monatsabrechnung!H157*$D$5*(1+$D$6)</f>
        <v/>
      </c>
      <c r="AH58" s="40">
        <f>Monatsabrechnung!I157*$D$5*(1+$D$6)</f>
        <v/>
      </c>
      <c r="AI58" s="40">
        <f>Monatsabrechnung!J157*$D$5*(1+$D$6)</f>
        <v/>
      </c>
      <c r="AJ58" s="40">
        <f>Monatsabrechnung!K157*$D$5*(1+$D$6)</f>
        <v/>
      </c>
      <c r="AK58" s="40">
        <f>Monatsabrechnung!L157*$D$5*(1+$D$6)</f>
        <v/>
      </c>
      <c r="AL58" s="40">
        <f>Monatsabrechnung!M157*$D$5*(1+$D$6)</f>
        <v/>
      </c>
      <c r="AM58" s="40">
        <f>Monatsabrechnung!N157*$D$5*(1+$D$6)</f>
        <v/>
      </c>
      <c r="AN58" s="40">
        <f>Monatsabrechnung!O157*$D$5*(1+$D$6)</f>
        <v/>
      </c>
      <c r="AO58" s="40">
        <f>Monatsabrechnung!P157*$D$5*(1+$D$6)</f>
        <v/>
      </c>
      <c r="AP58" s="28">
        <f>SUM(AD58:AO58)</f>
        <v/>
      </c>
      <c r="AQ58" s="59">
        <f>P58+AC58+AP58</f>
        <v/>
      </c>
    </row>
    <row r="59">
      <c r="A59" s="91">
        <f>Stammdaten!A59</f>
        <v/>
      </c>
      <c r="B59" s="73">
        <f>Stammdaten!B59</f>
        <v/>
      </c>
      <c r="C59" s="73">
        <f>Stammdaten!C59</f>
        <v/>
      </c>
      <c r="D59" s="40">
        <f>Monatsabrechnung!E160*$D$6</f>
        <v/>
      </c>
      <c r="E59" s="40">
        <f>Monatsabrechnung!F160*$D$6</f>
        <v/>
      </c>
      <c r="F59" s="40">
        <f>Monatsabrechnung!G160*$D$6</f>
        <v/>
      </c>
      <c r="G59" s="40">
        <f>Monatsabrechnung!H160*$D$6</f>
        <v/>
      </c>
      <c r="H59" s="40">
        <f>Monatsabrechnung!I160*$D$6</f>
        <v/>
      </c>
      <c r="I59" s="40">
        <f>Monatsabrechnung!J160*$D$6</f>
        <v/>
      </c>
      <c r="J59" s="40">
        <f>Monatsabrechnung!K160*$D$6</f>
        <v/>
      </c>
      <c r="K59" s="40">
        <f>Monatsabrechnung!L160*$D$6</f>
        <v/>
      </c>
      <c r="L59" s="40">
        <f>Monatsabrechnung!M160*$D$6</f>
        <v/>
      </c>
      <c r="M59" s="40">
        <f>Monatsabrechnung!N160*$D$6</f>
        <v/>
      </c>
      <c r="N59" s="40">
        <f>Monatsabrechnung!O160*$D$6</f>
        <v/>
      </c>
      <c r="O59" s="40">
        <f>Monatsabrechnung!P160*$D$6</f>
        <v/>
      </c>
      <c r="P59" s="28">
        <f>SUM(D59:O59)</f>
        <v/>
      </c>
      <c r="Q59" s="40">
        <f>Monatsabrechnung!E160*$D$4*(1+$D$6)</f>
        <v/>
      </c>
      <c r="R59" s="40">
        <f>Monatsabrechnung!F160*$D$4*(1+$D$6)</f>
        <v/>
      </c>
      <c r="S59" s="40">
        <f>Monatsabrechnung!G160*$D$4*(1+$D$6)</f>
        <v/>
      </c>
      <c r="T59" s="40">
        <f>Monatsabrechnung!H160*$D$4*(1+$D$6)</f>
        <v/>
      </c>
      <c r="U59" s="40">
        <f>Monatsabrechnung!I160*$D$4*(1+$D$6)</f>
        <v/>
      </c>
      <c r="V59" s="40">
        <f>Monatsabrechnung!J160*$D$4*(1+$D$6)</f>
        <v/>
      </c>
      <c r="W59" s="40">
        <f>Monatsabrechnung!K160*$D$4*(1+$D$6)</f>
        <v/>
      </c>
      <c r="X59" s="40">
        <f>Monatsabrechnung!L160*$D$4*(1+$D$6)</f>
        <v/>
      </c>
      <c r="Y59" s="40">
        <f>Monatsabrechnung!M160*$D$4*(1+$D$6)</f>
        <v/>
      </c>
      <c r="Z59" s="40">
        <f>Monatsabrechnung!N160*$D$4*(1+$D$6)</f>
        <v/>
      </c>
      <c r="AA59" s="40">
        <f>Monatsabrechnung!O160*$D$4*(1+$D$6)</f>
        <v/>
      </c>
      <c r="AB59" s="40">
        <f>Monatsabrechnung!P160*$D$4*(1+$D$6)</f>
        <v/>
      </c>
      <c r="AC59" s="28">
        <f>SUM(Q59:AB59)</f>
        <v/>
      </c>
      <c r="AD59" s="40">
        <f>Monatsabrechnung!E160*$D$5*(1+$D$6)</f>
        <v/>
      </c>
      <c r="AE59" s="40">
        <f>Monatsabrechnung!F160*$D$5*(1+$D$6)</f>
        <v/>
      </c>
      <c r="AF59" s="40">
        <f>Monatsabrechnung!G160*$D$5*(1+$D$6)</f>
        <v/>
      </c>
      <c r="AG59" s="40">
        <f>Monatsabrechnung!H160*$D$5*(1+$D$6)</f>
        <v/>
      </c>
      <c r="AH59" s="40">
        <f>Monatsabrechnung!I160*$D$5*(1+$D$6)</f>
        <v/>
      </c>
      <c r="AI59" s="40">
        <f>Monatsabrechnung!J160*$D$5*(1+$D$6)</f>
        <v/>
      </c>
      <c r="AJ59" s="40">
        <f>Monatsabrechnung!K160*$D$5*(1+$D$6)</f>
        <v/>
      </c>
      <c r="AK59" s="40">
        <f>Monatsabrechnung!L160*$D$5*(1+$D$6)</f>
        <v/>
      </c>
      <c r="AL59" s="40">
        <f>Monatsabrechnung!M160*$D$5*(1+$D$6)</f>
        <v/>
      </c>
      <c r="AM59" s="40">
        <f>Monatsabrechnung!N160*$D$5*(1+$D$6)</f>
        <v/>
      </c>
      <c r="AN59" s="40">
        <f>Monatsabrechnung!O160*$D$5*(1+$D$6)</f>
        <v/>
      </c>
      <c r="AO59" s="40">
        <f>Monatsabrechnung!P160*$D$5*(1+$D$6)</f>
        <v/>
      </c>
      <c r="AP59" s="28">
        <f>SUM(AD59:AO59)</f>
        <v/>
      </c>
      <c r="AQ59" s="59">
        <f>P59+AC59+AP59</f>
        <v/>
      </c>
    </row>
    <row r="60">
      <c r="A60" s="91">
        <f>Stammdaten!A60</f>
        <v/>
      </c>
      <c r="B60" s="73">
        <f>Stammdaten!B60</f>
        <v/>
      </c>
      <c r="C60" s="73">
        <f>Stammdaten!C60</f>
        <v/>
      </c>
      <c r="D60" s="40">
        <f>Monatsabrechnung!E163*$D$6</f>
        <v/>
      </c>
      <c r="E60" s="40">
        <f>Monatsabrechnung!F163*$D$6</f>
        <v/>
      </c>
      <c r="F60" s="40">
        <f>Monatsabrechnung!G163*$D$6</f>
        <v/>
      </c>
      <c r="G60" s="40">
        <f>Monatsabrechnung!H163*$D$6</f>
        <v/>
      </c>
      <c r="H60" s="40">
        <f>Monatsabrechnung!I163*$D$6</f>
        <v/>
      </c>
      <c r="I60" s="40">
        <f>Monatsabrechnung!J163*$D$6</f>
        <v/>
      </c>
      <c r="J60" s="40">
        <f>Monatsabrechnung!K163*$D$6</f>
        <v/>
      </c>
      <c r="K60" s="40">
        <f>Monatsabrechnung!L163*$D$6</f>
        <v/>
      </c>
      <c r="L60" s="40">
        <f>Monatsabrechnung!M163*$D$6</f>
        <v/>
      </c>
      <c r="M60" s="40">
        <f>Monatsabrechnung!N163*$D$6</f>
        <v/>
      </c>
      <c r="N60" s="40">
        <f>Monatsabrechnung!O163*$D$6</f>
        <v/>
      </c>
      <c r="O60" s="40">
        <f>Monatsabrechnung!P163*$D$6</f>
        <v/>
      </c>
      <c r="P60" s="28">
        <f>SUM(D60:O60)</f>
        <v/>
      </c>
      <c r="Q60" s="40">
        <f>Monatsabrechnung!E163*$D$4*(1+$D$6)</f>
        <v/>
      </c>
      <c r="R60" s="40">
        <f>Monatsabrechnung!F163*$D$4*(1+$D$6)</f>
        <v/>
      </c>
      <c r="S60" s="40">
        <f>Monatsabrechnung!G163*$D$4*(1+$D$6)</f>
        <v/>
      </c>
      <c r="T60" s="40">
        <f>Monatsabrechnung!H163*$D$4*(1+$D$6)</f>
        <v/>
      </c>
      <c r="U60" s="40">
        <f>Monatsabrechnung!I163*$D$4*(1+$D$6)</f>
        <v/>
      </c>
      <c r="V60" s="40">
        <f>Monatsabrechnung!J163*$D$4*(1+$D$6)</f>
        <v/>
      </c>
      <c r="W60" s="40">
        <f>Monatsabrechnung!K163*$D$4*(1+$D$6)</f>
        <v/>
      </c>
      <c r="X60" s="40">
        <f>Monatsabrechnung!L163*$D$4*(1+$D$6)</f>
        <v/>
      </c>
      <c r="Y60" s="40">
        <f>Monatsabrechnung!M163*$D$4*(1+$D$6)</f>
        <v/>
      </c>
      <c r="Z60" s="40">
        <f>Monatsabrechnung!N163*$D$4*(1+$D$6)</f>
        <v/>
      </c>
      <c r="AA60" s="40">
        <f>Monatsabrechnung!O163*$D$4*(1+$D$6)</f>
        <v/>
      </c>
      <c r="AB60" s="40">
        <f>Monatsabrechnung!P163*$D$4*(1+$D$6)</f>
        <v/>
      </c>
      <c r="AC60" s="28">
        <f>SUM(Q60:AB60)</f>
        <v/>
      </c>
      <c r="AD60" s="40">
        <f>Monatsabrechnung!E163*$D$5*(1+$D$6)</f>
        <v/>
      </c>
      <c r="AE60" s="40">
        <f>Monatsabrechnung!F163*$D$5*(1+$D$6)</f>
        <v/>
      </c>
      <c r="AF60" s="40">
        <f>Monatsabrechnung!G163*$D$5*(1+$D$6)</f>
        <v/>
      </c>
      <c r="AG60" s="40">
        <f>Monatsabrechnung!H163*$D$5*(1+$D$6)</f>
        <v/>
      </c>
      <c r="AH60" s="40">
        <f>Monatsabrechnung!I163*$D$5*(1+$D$6)</f>
        <v/>
      </c>
      <c r="AI60" s="40">
        <f>Monatsabrechnung!J163*$D$5*(1+$D$6)</f>
        <v/>
      </c>
      <c r="AJ60" s="40">
        <f>Monatsabrechnung!K163*$D$5*(1+$D$6)</f>
        <v/>
      </c>
      <c r="AK60" s="40">
        <f>Monatsabrechnung!L163*$D$5*(1+$D$6)</f>
        <v/>
      </c>
      <c r="AL60" s="40">
        <f>Monatsabrechnung!M163*$D$5*(1+$D$6)</f>
        <v/>
      </c>
      <c r="AM60" s="40">
        <f>Monatsabrechnung!N163*$D$5*(1+$D$6)</f>
        <v/>
      </c>
      <c r="AN60" s="40">
        <f>Monatsabrechnung!O163*$D$5*(1+$D$6)</f>
        <v/>
      </c>
      <c r="AO60" s="40">
        <f>Monatsabrechnung!P163*$D$5*(1+$D$6)</f>
        <v/>
      </c>
      <c r="AP60" s="28">
        <f>SUM(AD60:AO60)</f>
        <v/>
      </c>
      <c r="AQ60" s="59">
        <f>P60+AC60+AP60</f>
        <v/>
      </c>
    </row>
    <row r="61">
      <c r="A61" s="91">
        <f>Stammdaten!A61</f>
        <v/>
      </c>
      <c r="B61" s="73">
        <f>Stammdaten!B61</f>
        <v/>
      </c>
      <c r="C61" s="73">
        <f>Stammdaten!C61</f>
        <v/>
      </c>
      <c r="D61" s="40">
        <f>Monatsabrechnung!E166*$D$6</f>
        <v/>
      </c>
      <c r="E61" s="40">
        <f>Monatsabrechnung!F166*$D$6</f>
        <v/>
      </c>
      <c r="F61" s="40">
        <f>Monatsabrechnung!G166*$D$6</f>
        <v/>
      </c>
      <c r="G61" s="40">
        <f>Monatsabrechnung!H166*$D$6</f>
        <v/>
      </c>
      <c r="H61" s="40">
        <f>Monatsabrechnung!I166*$D$6</f>
        <v/>
      </c>
      <c r="I61" s="40">
        <f>Monatsabrechnung!J166*$D$6</f>
        <v/>
      </c>
      <c r="J61" s="40">
        <f>Monatsabrechnung!K166*$D$6</f>
        <v/>
      </c>
      <c r="K61" s="40">
        <f>Monatsabrechnung!L166*$D$6</f>
        <v/>
      </c>
      <c r="L61" s="40">
        <f>Monatsabrechnung!M166*$D$6</f>
        <v/>
      </c>
      <c r="M61" s="40">
        <f>Monatsabrechnung!N166*$D$6</f>
        <v/>
      </c>
      <c r="N61" s="40">
        <f>Monatsabrechnung!O166*$D$6</f>
        <v/>
      </c>
      <c r="O61" s="40">
        <f>Monatsabrechnung!P166*$D$6</f>
        <v/>
      </c>
      <c r="P61" s="28">
        <f>SUM(D61:O61)</f>
        <v/>
      </c>
      <c r="Q61" s="40">
        <f>Monatsabrechnung!E166*$D$4*(1+$D$6)</f>
        <v/>
      </c>
      <c r="R61" s="40">
        <f>Monatsabrechnung!F166*$D$4*(1+$D$6)</f>
        <v/>
      </c>
      <c r="S61" s="40">
        <f>Monatsabrechnung!G166*$D$4*(1+$D$6)</f>
        <v/>
      </c>
      <c r="T61" s="40">
        <f>Monatsabrechnung!H166*$D$4*(1+$D$6)</f>
        <v/>
      </c>
      <c r="U61" s="40">
        <f>Monatsabrechnung!I166*$D$4*(1+$D$6)</f>
        <v/>
      </c>
      <c r="V61" s="40">
        <f>Monatsabrechnung!J166*$D$4*(1+$D$6)</f>
        <v/>
      </c>
      <c r="W61" s="40">
        <f>Monatsabrechnung!K166*$D$4*(1+$D$6)</f>
        <v/>
      </c>
      <c r="X61" s="40">
        <f>Monatsabrechnung!L166*$D$4*(1+$D$6)</f>
        <v/>
      </c>
      <c r="Y61" s="40">
        <f>Monatsabrechnung!M166*$D$4*(1+$D$6)</f>
        <v/>
      </c>
      <c r="Z61" s="40">
        <f>Monatsabrechnung!N166*$D$4*(1+$D$6)</f>
        <v/>
      </c>
      <c r="AA61" s="40">
        <f>Monatsabrechnung!O166*$D$4*(1+$D$6)</f>
        <v/>
      </c>
      <c r="AB61" s="40">
        <f>Monatsabrechnung!P166*$D$4*(1+$D$6)</f>
        <v/>
      </c>
      <c r="AC61" s="28">
        <f>SUM(Q61:AB61)</f>
        <v/>
      </c>
      <c r="AD61" s="40">
        <f>Monatsabrechnung!E166*$D$5*(1+$D$6)</f>
        <v/>
      </c>
      <c r="AE61" s="40">
        <f>Monatsabrechnung!F166*$D$5*(1+$D$6)</f>
        <v/>
      </c>
      <c r="AF61" s="40">
        <f>Monatsabrechnung!G166*$D$5*(1+$D$6)</f>
        <v/>
      </c>
      <c r="AG61" s="40">
        <f>Monatsabrechnung!H166*$D$5*(1+$D$6)</f>
        <v/>
      </c>
      <c r="AH61" s="40">
        <f>Monatsabrechnung!I166*$D$5*(1+$D$6)</f>
        <v/>
      </c>
      <c r="AI61" s="40">
        <f>Monatsabrechnung!J166*$D$5*(1+$D$6)</f>
        <v/>
      </c>
      <c r="AJ61" s="40">
        <f>Monatsabrechnung!K166*$D$5*(1+$D$6)</f>
        <v/>
      </c>
      <c r="AK61" s="40">
        <f>Monatsabrechnung!L166*$D$5*(1+$D$6)</f>
        <v/>
      </c>
      <c r="AL61" s="40">
        <f>Monatsabrechnung!M166*$D$5*(1+$D$6)</f>
        <v/>
      </c>
      <c r="AM61" s="40">
        <f>Monatsabrechnung!N166*$D$5*(1+$D$6)</f>
        <v/>
      </c>
      <c r="AN61" s="40">
        <f>Monatsabrechnung!O166*$D$5*(1+$D$6)</f>
        <v/>
      </c>
      <c r="AO61" s="40">
        <f>Monatsabrechnung!P166*$D$5*(1+$D$6)</f>
        <v/>
      </c>
      <c r="AP61" s="28">
        <f>SUM(AD61:AO61)</f>
        <v/>
      </c>
      <c r="AQ61" s="59">
        <f>P61+AC61+AP61</f>
        <v/>
      </c>
    </row>
    <row r="62">
      <c r="A62" s="91">
        <f>Stammdaten!A62</f>
        <v/>
      </c>
      <c r="B62" s="73">
        <f>Stammdaten!B62</f>
        <v/>
      </c>
      <c r="C62" s="73">
        <f>Stammdaten!C62</f>
        <v/>
      </c>
      <c r="D62" s="40">
        <f>Monatsabrechnung!E169*$D$6</f>
        <v/>
      </c>
      <c r="E62" s="40">
        <f>Monatsabrechnung!F169*$D$6</f>
        <v/>
      </c>
      <c r="F62" s="40">
        <f>Monatsabrechnung!G169*$D$6</f>
        <v/>
      </c>
      <c r="G62" s="40">
        <f>Monatsabrechnung!H169*$D$6</f>
        <v/>
      </c>
      <c r="H62" s="40">
        <f>Monatsabrechnung!I169*$D$6</f>
        <v/>
      </c>
      <c r="I62" s="40">
        <f>Monatsabrechnung!J169*$D$6</f>
        <v/>
      </c>
      <c r="J62" s="40">
        <f>Monatsabrechnung!K169*$D$6</f>
        <v/>
      </c>
      <c r="K62" s="40">
        <f>Monatsabrechnung!L169*$D$6</f>
        <v/>
      </c>
      <c r="L62" s="40">
        <f>Monatsabrechnung!M169*$D$6</f>
        <v/>
      </c>
      <c r="M62" s="40">
        <f>Monatsabrechnung!N169*$D$6</f>
        <v/>
      </c>
      <c r="N62" s="40">
        <f>Monatsabrechnung!O169*$D$6</f>
        <v/>
      </c>
      <c r="O62" s="40">
        <f>Monatsabrechnung!P169*$D$6</f>
        <v/>
      </c>
      <c r="P62" s="28">
        <f>SUM(D62:O62)</f>
        <v/>
      </c>
      <c r="Q62" s="40">
        <f>Monatsabrechnung!E169*$D$4*(1+$D$6)</f>
        <v/>
      </c>
      <c r="R62" s="40">
        <f>Monatsabrechnung!F169*$D$4*(1+$D$6)</f>
        <v/>
      </c>
      <c r="S62" s="40">
        <f>Monatsabrechnung!G169*$D$4*(1+$D$6)</f>
        <v/>
      </c>
      <c r="T62" s="40">
        <f>Monatsabrechnung!H169*$D$4*(1+$D$6)</f>
        <v/>
      </c>
      <c r="U62" s="40">
        <f>Monatsabrechnung!I169*$D$4*(1+$D$6)</f>
        <v/>
      </c>
      <c r="V62" s="40">
        <f>Monatsabrechnung!J169*$D$4*(1+$D$6)</f>
        <v/>
      </c>
      <c r="W62" s="40">
        <f>Monatsabrechnung!K169*$D$4*(1+$D$6)</f>
        <v/>
      </c>
      <c r="X62" s="40">
        <f>Monatsabrechnung!L169*$D$4*(1+$D$6)</f>
        <v/>
      </c>
      <c r="Y62" s="40">
        <f>Monatsabrechnung!M169*$D$4*(1+$D$6)</f>
        <v/>
      </c>
      <c r="Z62" s="40">
        <f>Monatsabrechnung!N169*$D$4*(1+$D$6)</f>
        <v/>
      </c>
      <c r="AA62" s="40">
        <f>Monatsabrechnung!O169*$D$4*(1+$D$6)</f>
        <v/>
      </c>
      <c r="AB62" s="40">
        <f>Monatsabrechnung!P169*$D$4*(1+$D$6)</f>
        <v/>
      </c>
      <c r="AC62" s="28">
        <f>SUM(Q62:AB62)</f>
        <v/>
      </c>
      <c r="AD62" s="40">
        <f>Monatsabrechnung!E169*$D$5*(1+$D$6)</f>
        <v/>
      </c>
      <c r="AE62" s="40">
        <f>Monatsabrechnung!F169*$D$5*(1+$D$6)</f>
        <v/>
      </c>
      <c r="AF62" s="40">
        <f>Monatsabrechnung!G169*$D$5*(1+$D$6)</f>
        <v/>
      </c>
      <c r="AG62" s="40">
        <f>Monatsabrechnung!H169*$D$5*(1+$D$6)</f>
        <v/>
      </c>
      <c r="AH62" s="40">
        <f>Monatsabrechnung!I169*$D$5*(1+$D$6)</f>
        <v/>
      </c>
      <c r="AI62" s="40">
        <f>Monatsabrechnung!J169*$D$5*(1+$D$6)</f>
        <v/>
      </c>
      <c r="AJ62" s="40">
        <f>Monatsabrechnung!K169*$D$5*(1+$D$6)</f>
        <v/>
      </c>
      <c r="AK62" s="40">
        <f>Monatsabrechnung!L169*$D$5*(1+$D$6)</f>
        <v/>
      </c>
      <c r="AL62" s="40">
        <f>Monatsabrechnung!M169*$D$5*(1+$D$6)</f>
        <v/>
      </c>
      <c r="AM62" s="40">
        <f>Monatsabrechnung!N169*$D$5*(1+$D$6)</f>
        <v/>
      </c>
      <c r="AN62" s="40">
        <f>Monatsabrechnung!O169*$D$5*(1+$D$6)</f>
        <v/>
      </c>
      <c r="AO62" s="40">
        <f>Monatsabrechnung!P169*$D$5*(1+$D$6)</f>
        <v/>
      </c>
      <c r="AP62" s="28">
        <f>SUM(AD62:AO62)</f>
        <v/>
      </c>
      <c r="AQ62" s="59">
        <f>P62+AC62+AP62</f>
        <v/>
      </c>
    </row>
    <row r="63">
      <c r="A63" s="91">
        <f>Stammdaten!A63</f>
        <v/>
      </c>
      <c r="B63" s="73">
        <f>Stammdaten!B63</f>
        <v/>
      </c>
      <c r="C63" s="73">
        <f>Stammdaten!C63</f>
        <v/>
      </c>
      <c r="D63" s="40">
        <f>Monatsabrechnung!E172*$D$6</f>
        <v/>
      </c>
      <c r="E63" s="40">
        <f>Monatsabrechnung!F172*$D$6</f>
        <v/>
      </c>
      <c r="F63" s="40">
        <f>Monatsabrechnung!G172*$D$6</f>
        <v/>
      </c>
      <c r="G63" s="40">
        <f>Monatsabrechnung!H172*$D$6</f>
        <v/>
      </c>
      <c r="H63" s="40">
        <f>Monatsabrechnung!I172*$D$6</f>
        <v/>
      </c>
      <c r="I63" s="40">
        <f>Monatsabrechnung!J172*$D$6</f>
        <v/>
      </c>
      <c r="J63" s="40">
        <f>Monatsabrechnung!K172*$D$6</f>
        <v/>
      </c>
      <c r="K63" s="40">
        <f>Monatsabrechnung!L172*$D$6</f>
        <v/>
      </c>
      <c r="L63" s="40">
        <f>Monatsabrechnung!M172*$D$6</f>
        <v/>
      </c>
      <c r="M63" s="40">
        <f>Monatsabrechnung!N172*$D$6</f>
        <v/>
      </c>
      <c r="N63" s="40">
        <f>Monatsabrechnung!O172*$D$6</f>
        <v/>
      </c>
      <c r="O63" s="40">
        <f>Monatsabrechnung!P172*$D$6</f>
        <v/>
      </c>
      <c r="P63" s="28">
        <f>SUM(D63:O63)</f>
        <v/>
      </c>
      <c r="Q63" s="40">
        <f>Monatsabrechnung!E172*$D$4*(1+$D$6)</f>
        <v/>
      </c>
      <c r="R63" s="40">
        <f>Monatsabrechnung!F172*$D$4*(1+$D$6)</f>
        <v/>
      </c>
      <c r="S63" s="40">
        <f>Monatsabrechnung!G172*$D$4*(1+$D$6)</f>
        <v/>
      </c>
      <c r="T63" s="40">
        <f>Monatsabrechnung!H172*$D$4*(1+$D$6)</f>
        <v/>
      </c>
      <c r="U63" s="40">
        <f>Monatsabrechnung!I172*$D$4*(1+$D$6)</f>
        <v/>
      </c>
      <c r="V63" s="40">
        <f>Monatsabrechnung!J172*$D$4*(1+$D$6)</f>
        <v/>
      </c>
      <c r="W63" s="40">
        <f>Monatsabrechnung!K172*$D$4*(1+$D$6)</f>
        <v/>
      </c>
      <c r="X63" s="40">
        <f>Monatsabrechnung!L172*$D$4*(1+$D$6)</f>
        <v/>
      </c>
      <c r="Y63" s="40">
        <f>Monatsabrechnung!M172*$D$4*(1+$D$6)</f>
        <v/>
      </c>
      <c r="Z63" s="40">
        <f>Monatsabrechnung!N172*$D$4*(1+$D$6)</f>
        <v/>
      </c>
      <c r="AA63" s="40">
        <f>Monatsabrechnung!O172*$D$4*(1+$D$6)</f>
        <v/>
      </c>
      <c r="AB63" s="40">
        <f>Monatsabrechnung!P172*$D$4*(1+$D$6)</f>
        <v/>
      </c>
      <c r="AC63" s="28">
        <f>SUM(Q63:AB63)</f>
        <v/>
      </c>
      <c r="AD63" s="40">
        <f>Monatsabrechnung!E172*$D$5*(1+$D$6)</f>
        <v/>
      </c>
      <c r="AE63" s="40">
        <f>Monatsabrechnung!F172*$D$5*(1+$D$6)</f>
        <v/>
      </c>
      <c r="AF63" s="40">
        <f>Monatsabrechnung!G172*$D$5*(1+$D$6)</f>
        <v/>
      </c>
      <c r="AG63" s="40">
        <f>Monatsabrechnung!H172*$D$5*(1+$D$6)</f>
        <v/>
      </c>
      <c r="AH63" s="40">
        <f>Monatsabrechnung!I172*$D$5*(1+$D$6)</f>
        <v/>
      </c>
      <c r="AI63" s="40">
        <f>Monatsabrechnung!J172*$D$5*(1+$D$6)</f>
        <v/>
      </c>
      <c r="AJ63" s="40">
        <f>Monatsabrechnung!K172*$D$5*(1+$D$6)</f>
        <v/>
      </c>
      <c r="AK63" s="40">
        <f>Monatsabrechnung!L172*$D$5*(1+$D$6)</f>
        <v/>
      </c>
      <c r="AL63" s="40">
        <f>Monatsabrechnung!M172*$D$5*(1+$D$6)</f>
        <v/>
      </c>
      <c r="AM63" s="40">
        <f>Monatsabrechnung!N172*$D$5*(1+$D$6)</f>
        <v/>
      </c>
      <c r="AN63" s="40">
        <f>Monatsabrechnung!O172*$D$5*(1+$D$6)</f>
        <v/>
      </c>
      <c r="AO63" s="40">
        <f>Monatsabrechnung!P172*$D$5*(1+$D$6)</f>
        <v/>
      </c>
      <c r="AP63" s="28">
        <f>SUM(AD63:AO63)</f>
        <v/>
      </c>
      <c r="AQ63" s="59">
        <f>P63+AC63+AP63</f>
        <v/>
      </c>
    </row>
    <row r="64">
      <c r="A64" s="91">
        <f>Stammdaten!A64</f>
        <v/>
      </c>
      <c r="B64" s="73">
        <f>Stammdaten!B64</f>
        <v/>
      </c>
      <c r="C64" s="73">
        <f>Stammdaten!C64</f>
        <v/>
      </c>
      <c r="D64" s="40">
        <f>Monatsabrechnung!E175*$D$6</f>
        <v/>
      </c>
      <c r="E64" s="40">
        <f>Monatsabrechnung!F175*$D$6</f>
        <v/>
      </c>
      <c r="F64" s="40">
        <f>Monatsabrechnung!G175*$D$6</f>
        <v/>
      </c>
      <c r="G64" s="40">
        <f>Monatsabrechnung!H175*$D$6</f>
        <v/>
      </c>
      <c r="H64" s="40">
        <f>Monatsabrechnung!I175*$D$6</f>
        <v/>
      </c>
      <c r="I64" s="40">
        <f>Monatsabrechnung!J175*$D$6</f>
        <v/>
      </c>
      <c r="J64" s="40">
        <f>Monatsabrechnung!K175*$D$6</f>
        <v/>
      </c>
      <c r="K64" s="40">
        <f>Monatsabrechnung!L175*$D$6</f>
        <v/>
      </c>
      <c r="L64" s="40">
        <f>Monatsabrechnung!M175*$D$6</f>
        <v/>
      </c>
      <c r="M64" s="40">
        <f>Monatsabrechnung!N175*$D$6</f>
        <v/>
      </c>
      <c r="N64" s="40">
        <f>Monatsabrechnung!O175*$D$6</f>
        <v/>
      </c>
      <c r="O64" s="40">
        <f>Monatsabrechnung!P175*$D$6</f>
        <v/>
      </c>
      <c r="P64" s="28">
        <f>SUM(D64:O64)</f>
        <v/>
      </c>
      <c r="Q64" s="40">
        <f>Monatsabrechnung!E175*$D$4*(1+$D$6)</f>
        <v/>
      </c>
      <c r="R64" s="40">
        <f>Monatsabrechnung!F175*$D$4*(1+$D$6)</f>
        <v/>
      </c>
      <c r="S64" s="40">
        <f>Monatsabrechnung!G175*$D$4*(1+$D$6)</f>
        <v/>
      </c>
      <c r="T64" s="40">
        <f>Monatsabrechnung!H175*$D$4*(1+$D$6)</f>
        <v/>
      </c>
      <c r="U64" s="40">
        <f>Monatsabrechnung!I175*$D$4*(1+$D$6)</f>
        <v/>
      </c>
      <c r="V64" s="40">
        <f>Monatsabrechnung!J175*$D$4*(1+$D$6)</f>
        <v/>
      </c>
      <c r="W64" s="40">
        <f>Monatsabrechnung!K175*$D$4*(1+$D$6)</f>
        <v/>
      </c>
      <c r="X64" s="40">
        <f>Monatsabrechnung!L175*$D$4*(1+$D$6)</f>
        <v/>
      </c>
      <c r="Y64" s="40">
        <f>Monatsabrechnung!M175*$D$4*(1+$D$6)</f>
        <v/>
      </c>
      <c r="Z64" s="40">
        <f>Monatsabrechnung!N175*$D$4*(1+$D$6)</f>
        <v/>
      </c>
      <c r="AA64" s="40">
        <f>Monatsabrechnung!O175*$D$4*(1+$D$6)</f>
        <v/>
      </c>
      <c r="AB64" s="40">
        <f>Monatsabrechnung!P175*$D$4*(1+$D$6)</f>
        <v/>
      </c>
      <c r="AC64" s="28">
        <f>SUM(Q64:AB64)</f>
        <v/>
      </c>
      <c r="AD64" s="40">
        <f>Monatsabrechnung!E175*$D$5*(1+$D$6)</f>
        <v/>
      </c>
      <c r="AE64" s="40">
        <f>Monatsabrechnung!F175*$D$5*(1+$D$6)</f>
        <v/>
      </c>
      <c r="AF64" s="40">
        <f>Monatsabrechnung!G175*$D$5*(1+$D$6)</f>
        <v/>
      </c>
      <c r="AG64" s="40">
        <f>Monatsabrechnung!H175*$D$5*(1+$D$6)</f>
        <v/>
      </c>
      <c r="AH64" s="40">
        <f>Monatsabrechnung!I175*$D$5*(1+$D$6)</f>
        <v/>
      </c>
      <c r="AI64" s="40">
        <f>Monatsabrechnung!J175*$D$5*(1+$D$6)</f>
        <v/>
      </c>
      <c r="AJ64" s="40">
        <f>Monatsabrechnung!K175*$D$5*(1+$D$6)</f>
        <v/>
      </c>
      <c r="AK64" s="40">
        <f>Monatsabrechnung!L175*$D$5*(1+$D$6)</f>
        <v/>
      </c>
      <c r="AL64" s="40">
        <f>Monatsabrechnung!M175*$D$5*(1+$D$6)</f>
        <v/>
      </c>
      <c r="AM64" s="40">
        <f>Monatsabrechnung!N175*$D$5*(1+$D$6)</f>
        <v/>
      </c>
      <c r="AN64" s="40">
        <f>Monatsabrechnung!O175*$D$5*(1+$D$6)</f>
        <v/>
      </c>
      <c r="AO64" s="40">
        <f>Monatsabrechnung!P175*$D$5*(1+$D$6)</f>
        <v/>
      </c>
      <c r="AP64" s="28">
        <f>SUM(AD64:AO64)</f>
        <v/>
      </c>
      <c r="AQ64" s="59">
        <f>P64+AC64+AP64</f>
        <v/>
      </c>
    </row>
    <row r="65">
      <c r="A65" s="91">
        <f>Stammdaten!A65</f>
        <v/>
      </c>
      <c r="B65" s="73">
        <f>Stammdaten!B65</f>
        <v/>
      </c>
      <c r="C65" s="73">
        <f>Stammdaten!C65</f>
        <v/>
      </c>
      <c r="D65" s="40">
        <f>Monatsabrechnung!E178*$D$6</f>
        <v/>
      </c>
      <c r="E65" s="40">
        <f>Monatsabrechnung!F178*$D$6</f>
        <v/>
      </c>
      <c r="F65" s="40">
        <f>Monatsabrechnung!G178*$D$6</f>
        <v/>
      </c>
      <c r="G65" s="40">
        <f>Monatsabrechnung!H178*$D$6</f>
        <v/>
      </c>
      <c r="H65" s="40">
        <f>Monatsabrechnung!I178*$D$6</f>
        <v/>
      </c>
      <c r="I65" s="40">
        <f>Monatsabrechnung!J178*$D$6</f>
        <v/>
      </c>
      <c r="J65" s="40">
        <f>Monatsabrechnung!K178*$D$6</f>
        <v/>
      </c>
      <c r="K65" s="40">
        <f>Monatsabrechnung!L178*$D$6</f>
        <v/>
      </c>
      <c r="L65" s="40">
        <f>Monatsabrechnung!M178*$D$6</f>
        <v/>
      </c>
      <c r="M65" s="40">
        <f>Monatsabrechnung!N178*$D$6</f>
        <v/>
      </c>
      <c r="N65" s="40">
        <f>Monatsabrechnung!O178*$D$6</f>
        <v/>
      </c>
      <c r="O65" s="40">
        <f>Monatsabrechnung!P178*$D$6</f>
        <v/>
      </c>
      <c r="P65" s="28">
        <f>SUM(D65:O65)</f>
        <v/>
      </c>
      <c r="Q65" s="40">
        <f>Monatsabrechnung!E178*$D$4*(1+$D$6)</f>
        <v/>
      </c>
      <c r="R65" s="40">
        <f>Monatsabrechnung!F178*$D$4*(1+$D$6)</f>
        <v/>
      </c>
      <c r="S65" s="40">
        <f>Monatsabrechnung!G178*$D$4*(1+$D$6)</f>
        <v/>
      </c>
      <c r="T65" s="40">
        <f>Monatsabrechnung!H178*$D$4*(1+$D$6)</f>
        <v/>
      </c>
      <c r="U65" s="40">
        <f>Monatsabrechnung!I178*$D$4*(1+$D$6)</f>
        <v/>
      </c>
      <c r="V65" s="40">
        <f>Monatsabrechnung!J178*$D$4*(1+$D$6)</f>
        <v/>
      </c>
      <c r="W65" s="40">
        <f>Monatsabrechnung!K178*$D$4*(1+$D$6)</f>
        <v/>
      </c>
      <c r="X65" s="40">
        <f>Monatsabrechnung!L178*$D$4*(1+$D$6)</f>
        <v/>
      </c>
      <c r="Y65" s="40">
        <f>Monatsabrechnung!M178*$D$4*(1+$D$6)</f>
        <v/>
      </c>
      <c r="Z65" s="40">
        <f>Monatsabrechnung!N178*$D$4*(1+$D$6)</f>
        <v/>
      </c>
      <c r="AA65" s="40">
        <f>Monatsabrechnung!O178*$D$4*(1+$D$6)</f>
        <v/>
      </c>
      <c r="AB65" s="40">
        <f>Monatsabrechnung!P178*$D$4*(1+$D$6)</f>
        <v/>
      </c>
      <c r="AC65" s="28">
        <f>SUM(Q65:AB65)</f>
        <v/>
      </c>
      <c r="AD65" s="40">
        <f>Monatsabrechnung!E178*$D$5*(1+$D$6)</f>
        <v/>
      </c>
      <c r="AE65" s="40">
        <f>Monatsabrechnung!F178*$D$5*(1+$D$6)</f>
        <v/>
      </c>
      <c r="AF65" s="40">
        <f>Monatsabrechnung!G178*$D$5*(1+$D$6)</f>
        <v/>
      </c>
      <c r="AG65" s="40">
        <f>Monatsabrechnung!H178*$D$5*(1+$D$6)</f>
        <v/>
      </c>
      <c r="AH65" s="40">
        <f>Monatsabrechnung!I178*$D$5*(1+$D$6)</f>
        <v/>
      </c>
      <c r="AI65" s="40">
        <f>Monatsabrechnung!J178*$D$5*(1+$D$6)</f>
        <v/>
      </c>
      <c r="AJ65" s="40">
        <f>Monatsabrechnung!K178*$D$5*(1+$D$6)</f>
        <v/>
      </c>
      <c r="AK65" s="40">
        <f>Monatsabrechnung!L178*$D$5*(1+$D$6)</f>
        <v/>
      </c>
      <c r="AL65" s="40">
        <f>Monatsabrechnung!M178*$D$5*(1+$D$6)</f>
        <v/>
      </c>
      <c r="AM65" s="40">
        <f>Monatsabrechnung!N178*$D$5*(1+$D$6)</f>
        <v/>
      </c>
      <c r="AN65" s="40">
        <f>Monatsabrechnung!O178*$D$5*(1+$D$6)</f>
        <v/>
      </c>
      <c r="AO65" s="40">
        <f>Monatsabrechnung!P178*$D$5*(1+$D$6)</f>
        <v/>
      </c>
      <c r="AP65" s="28">
        <f>SUM(AD65:AO65)</f>
        <v/>
      </c>
      <c r="AQ65" s="59">
        <f>P65+AC65+AP65</f>
        <v/>
      </c>
    </row>
    <row r="66">
      <c r="A66" s="91">
        <f>Stammdaten!A66</f>
        <v/>
      </c>
      <c r="B66" s="73">
        <f>Stammdaten!B66</f>
        <v/>
      </c>
      <c r="C66" s="73">
        <f>Stammdaten!C66</f>
        <v/>
      </c>
      <c r="D66" s="40">
        <f>Monatsabrechnung!E181*$D$6</f>
        <v/>
      </c>
      <c r="E66" s="40">
        <f>Monatsabrechnung!F181*$D$6</f>
        <v/>
      </c>
      <c r="F66" s="40">
        <f>Monatsabrechnung!G181*$D$6</f>
        <v/>
      </c>
      <c r="G66" s="40">
        <f>Monatsabrechnung!H181*$D$6</f>
        <v/>
      </c>
      <c r="H66" s="40">
        <f>Monatsabrechnung!I181*$D$6</f>
        <v/>
      </c>
      <c r="I66" s="40">
        <f>Monatsabrechnung!J181*$D$6</f>
        <v/>
      </c>
      <c r="J66" s="40">
        <f>Monatsabrechnung!K181*$D$6</f>
        <v/>
      </c>
      <c r="K66" s="40">
        <f>Monatsabrechnung!L181*$D$6</f>
        <v/>
      </c>
      <c r="L66" s="40">
        <f>Monatsabrechnung!M181*$D$6</f>
        <v/>
      </c>
      <c r="M66" s="40">
        <f>Monatsabrechnung!N181*$D$6</f>
        <v/>
      </c>
      <c r="N66" s="40">
        <f>Monatsabrechnung!O181*$D$6</f>
        <v/>
      </c>
      <c r="O66" s="40">
        <f>Monatsabrechnung!P181*$D$6</f>
        <v/>
      </c>
      <c r="P66" s="28">
        <f>SUM(D66:O66)</f>
        <v/>
      </c>
      <c r="Q66" s="40">
        <f>Monatsabrechnung!E181*$D$4*(1+$D$6)</f>
        <v/>
      </c>
      <c r="R66" s="40">
        <f>Monatsabrechnung!F181*$D$4*(1+$D$6)</f>
        <v/>
      </c>
      <c r="S66" s="40">
        <f>Monatsabrechnung!G181*$D$4*(1+$D$6)</f>
        <v/>
      </c>
      <c r="T66" s="40">
        <f>Monatsabrechnung!H181*$D$4*(1+$D$6)</f>
        <v/>
      </c>
      <c r="U66" s="40">
        <f>Monatsabrechnung!I181*$D$4*(1+$D$6)</f>
        <v/>
      </c>
      <c r="V66" s="40">
        <f>Monatsabrechnung!J181*$D$4*(1+$D$6)</f>
        <v/>
      </c>
      <c r="W66" s="40">
        <f>Monatsabrechnung!K181*$D$4*(1+$D$6)</f>
        <v/>
      </c>
      <c r="X66" s="40">
        <f>Monatsabrechnung!L181*$D$4*(1+$D$6)</f>
        <v/>
      </c>
      <c r="Y66" s="40">
        <f>Monatsabrechnung!M181*$D$4*(1+$D$6)</f>
        <v/>
      </c>
      <c r="Z66" s="40">
        <f>Monatsabrechnung!N181*$D$4*(1+$D$6)</f>
        <v/>
      </c>
      <c r="AA66" s="40">
        <f>Monatsabrechnung!O181*$D$4*(1+$D$6)</f>
        <v/>
      </c>
      <c r="AB66" s="40">
        <f>Monatsabrechnung!P181*$D$4*(1+$D$6)</f>
        <v/>
      </c>
      <c r="AC66" s="28">
        <f>SUM(Q66:AB66)</f>
        <v/>
      </c>
      <c r="AD66" s="40">
        <f>Monatsabrechnung!E181*$D$5*(1+$D$6)</f>
        <v/>
      </c>
      <c r="AE66" s="40">
        <f>Monatsabrechnung!F181*$D$5*(1+$D$6)</f>
        <v/>
      </c>
      <c r="AF66" s="40">
        <f>Monatsabrechnung!G181*$D$5*(1+$D$6)</f>
        <v/>
      </c>
      <c r="AG66" s="40">
        <f>Monatsabrechnung!H181*$D$5*(1+$D$6)</f>
        <v/>
      </c>
      <c r="AH66" s="40">
        <f>Monatsabrechnung!I181*$D$5*(1+$D$6)</f>
        <v/>
      </c>
      <c r="AI66" s="40">
        <f>Monatsabrechnung!J181*$D$5*(1+$D$6)</f>
        <v/>
      </c>
      <c r="AJ66" s="40">
        <f>Monatsabrechnung!K181*$D$5*(1+$D$6)</f>
        <v/>
      </c>
      <c r="AK66" s="40">
        <f>Monatsabrechnung!L181*$D$5*(1+$D$6)</f>
        <v/>
      </c>
      <c r="AL66" s="40">
        <f>Monatsabrechnung!M181*$D$5*(1+$D$6)</f>
        <v/>
      </c>
      <c r="AM66" s="40">
        <f>Monatsabrechnung!N181*$D$5*(1+$D$6)</f>
        <v/>
      </c>
      <c r="AN66" s="40">
        <f>Monatsabrechnung!O181*$D$5*(1+$D$6)</f>
        <v/>
      </c>
      <c r="AO66" s="40">
        <f>Monatsabrechnung!P181*$D$5*(1+$D$6)</f>
        <v/>
      </c>
      <c r="AP66" s="28">
        <f>SUM(AD66:AO66)</f>
        <v/>
      </c>
      <c r="AQ66" s="59">
        <f>P66+AC66+AP66</f>
        <v/>
      </c>
    </row>
    <row r="67">
      <c r="A67" s="91">
        <f>Stammdaten!A67</f>
        <v/>
      </c>
      <c r="B67" s="73">
        <f>Stammdaten!B67</f>
        <v/>
      </c>
      <c r="C67" s="73">
        <f>Stammdaten!C67</f>
        <v/>
      </c>
      <c r="D67" s="40">
        <f>Monatsabrechnung!E184*$D$6</f>
        <v/>
      </c>
      <c r="E67" s="40">
        <f>Monatsabrechnung!F184*$D$6</f>
        <v/>
      </c>
      <c r="F67" s="40">
        <f>Monatsabrechnung!G184*$D$6</f>
        <v/>
      </c>
      <c r="G67" s="40">
        <f>Monatsabrechnung!H184*$D$6</f>
        <v/>
      </c>
      <c r="H67" s="40">
        <f>Monatsabrechnung!I184*$D$6</f>
        <v/>
      </c>
      <c r="I67" s="40">
        <f>Monatsabrechnung!J184*$D$6</f>
        <v/>
      </c>
      <c r="J67" s="40">
        <f>Monatsabrechnung!K184*$D$6</f>
        <v/>
      </c>
      <c r="K67" s="40">
        <f>Monatsabrechnung!L184*$D$6</f>
        <v/>
      </c>
      <c r="L67" s="40">
        <f>Monatsabrechnung!M184*$D$6</f>
        <v/>
      </c>
      <c r="M67" s="40">
        <f>Monatsabrechnung!N184*$D$6</f>
        <v/>
      </c>
      <c r="N67" s="40">
        <f>Monatsabrechnung!O184*$D$6</f>
        <v/>
      </c>
      <c r="O67" s="40">
        <f>Monatsabrechnung!P184*$D$6</f>
        <v/>
      </c>
      <c r="P67" s="28">
        <f>SUM(D67:O67)</f>
        <v/>
      </c>
      <c r="Q67" s="40">
        <f>Monatsabrechnung!E184*$D$4*(1+$D$6)</f>
        <v/>
      </c>
      <c r="R67" s="40">
        <f>Monatsabrechnung!F184*$D$4*(1+$D$6)</f>
        <v/>
      </c>
      <c r="S67" s="40">
        <f>Monatsabrechnung!G184*$D$4*(1+$D$6)</f>
        <v/>
      </c>
      <c r="T67" s="40">
        <f>Monatsabrechnung!H184*$D$4*(1+$D$6)</f>
        <v/>
      </c>
      <c r="U67" s="40">
        <f>Monatsabrechnung!I184*$D$4*(1+$D$6)</f>
        <v/>
      </c>
      <c r="V67" s="40">
        <f>Monatsabrechnung!J184*$D$4*(1+$D$6)</f>
        <v/>
      </c>
      <c r="W67" s="40">
        <f>Monatsabrechnung!K184*$D$4*(1+$D$6)</f>
        <v/>
      </c>
      <c r="X67" s="40">
        <f>Monatsabrechnung!L184*$D$4*(1+$D$6)</f>
        <v/>
      </c>
      <c r="Y67" s="40">
        <f>Monatsabrechnung!M184*$D$4*(1+$D$6)</f>
        <v/>
      </c>
      <c r="Z67" s="40">
        <f>Monatsabrechnung!N184*$D$4*(1+$D$6)</f>
        <v/>
      </c>
      <c r="AA67" s="40">
        <f>Monatsabrechnung!O184*$D$4*(1+$D$6)</f>
        <v/>
      </c>
      <c r="AB67" s="40">
        <f>Monatsabrechnung!P184*$D$4*(1+$D$6)</f>
        <v/>
      </c>
      <c r="AC67" s="28">
        <f>SUM(Q67:AB67)</f>
        <v/>
      </c>
      <c r="AD67" s="40">
        <f>Monatsabrechnung!E184*$D$5*(1+$D$6)</f>
        <v/>
      </c>
      <c r="AE67" s="40">
        <f>Monatsabrechnung!F184*$D$5*(1+$D$6)</f>
        <v/>
      </c>
      <c r="AF67" s="40">
        <f>Monatsabrechnung!G184*$D$5*(1+$D$6)</f>
        <v/>
      </c>
      <c r="AG67" s="40">
        <f>Monatsabrechnung!H184*$D$5*(1+$D$6)</f>
        <v/>
      </c>
      <c r="AH67" s="40">
        <f>Monatsabrechnung!I184*$D$5*(1+$D$6)</f>
        <v/>
      </c>
      <c r="AI67" s="40">
        <f>Monatsabrechnung!J184*$D$5*(1+$D$6)</f>
        <v/>
      </c>
      <c r="AJ67" s="40">
        <f>Monatsabrechnung!K184*$D$5*(1+$D$6)</f>
        <v/>
      </c>
      <c r="AK67" s="40">
        <f>Monatsabrechnung!L184*$D$5*(1+$D$6)</f>
        <v/>
      </c>
      <c r="AL67" s="40">
        <f>Monatsabrechnung!M184*$D$5*(1+$D$6)</f>
        <v/>
      </c>
      <c r="AM67" s="40">
        <f>Monatsabrechnung!N184*$D$5*(1+$D$6)</f>
        <v/>
      </c>
      <c r="AN67" s="40">
        <f>Monatsabrechnung!O184*$D$5*(1+$D$6)</f>
        <v/>
      </c>
      <c r="AO67" s="40">
        <f>Monatsabrechnung!P184*$D$5*(1+$D$6)</f>
        <v/>
      </c>
      <c r="AP67" s="28">
        <f>SUM(AD67:AO67)</f>
        <v/>
      </c>
      <c r="AQ67" s="59">
        <f>P67+AC67+AP67</f>
        <v/>
      </c>
    </row>
    <row r="68">
      <c r="A68" s="91">
        <f>Stammdaten!A68</f>
        <v/>
      </c>
      <c r="B68" s="73">
        <f>Stammdaten!B68</f>
        <v/>
      </c>
      <c r="C68" s="73">
        <f>Stammdaten!C68</f>
        <v/>
      </c>
      <c r="D68" s="40">
        <f>Monatsabrechnung!E187*$D$6</f>
        <v/>
      </c>
      <c r="E68" s="40">
        <f>Monatsabrechnung!F187*$D$6</f>
        <v/>
      </c>
      <c r="F68" s="40">
        <f>Monatsabrechnung!G187*$D$6</f>
        <v/>
      </c>
      <c r="G68" s="40">
        <f>Monatsabrechnung!H187*$D$6</f>
        <v/>
      </c>
      <c r="H68" s="40">
        <f>Monatsabrechnung!I187*$D$6</f>
        <v/>
      </c>
      <c r="I68" s="40">
        <f>Monatsabrechnung!J187*$D$6</f>
        <v/>
      </c>
      <c r="J68" s="40">
        <f>Monatsabrechnung!K187*$D$6</f>
        <v/>
      </c>
      <c r="K68" s="40">
        <f>Monatsabrechnung!L187*$D$6</f>
        <v/>
      </c>
      <c r="L68" s="40">
        <f>Monatsabrechnung!M187*$D$6</f>
        <v/>
      </c>
      <c r="M68" s="40">
        <f>Monatsabrechnung!N187*$D$6</f>
        <v/>
      </c>
      <c r="N68" s="40">
        <f>Monatsabrechnung!O187*$D$6</f>
        <v/>
      </c>
      <c r="O68" s="40">
        <f>Monatsabrechnung!P187*$D$6</f>
        <v/>
      </c>
      <c r="P68" s="28">
        <f>SUM(D68:O68)</f>
        <v/>
      </c>
      <c r="Q68" s="40">
        <f>Monatsabrechnung!E187*$D$4*(1+$D$6)</f>
        <v/>
      </c>
      <c r="R68" s="40">
        <f>Monatsabrechnung!F187*$D$4*(1+$D$6)</f>
        <v/>
      </c>
      <c r="S68" s="40">
        <f>Monatsabrechnung!G187*$D$4*(1+$D$6)</f>
        <v/>
      </c>
      <c r="T68" s="40">
        <f>Monatsabrechnung!H187*$D$4*(1+$D$6)</f>
        <v/>
      </c>
      <c r="U68" s="40">
        <f>Monatsabrechnung!I187*$D$4*(1+$D$6)</f>
        <v/>
      </c>
      <c r="V68" s="40">
        <f>Monatsabrechnung!J187*$D$4*(1+$D$6)</f>
        <v/>
      </c>
      <c r="W68" s="40">
        <f>Monatsabrechnung!K187*$D$4*(1+$D$6)</f>
        <v/>
      </c>
      <c r="X68" s="40">
        <f>Monatsabrechnung!L187*$D$4*(1+$D$6)</f>
        <v/>
      </c>
      <c r="Y68" s="40">
        <f>Monatsabrechnung!M187*$D$4*(1+$D$6)</f>
        <v/>
      </c>
      <c r="Z68" s="40">
        <f>Monatsabrechnung!N187*$D$4*(1+$D$6)</f>
        <v/>
      </c>
      <c r="AA68" s="40">
        <f>Monatsabrechnung!O187*$D$4*(1+$D$6)</f>
        <v/>
      </c>
      <c r="AB68" s="40">
        <f>Monatsabrechnung!P187*$D$4*(1+$D$6)</f>
        <v/>
      </c>
      <c r="AC68" s="28">
        <f>SUM(Q68:AB68)</f>
        <v/>
      </c>
      <c r="AD68" s="40">
        <f>Monatsabrechnung!E187*$D$5*(1+$D$6)</f>
        <v/>
      </c>
      <c r="AE68" s="40">
        <f>Monatsabrechnung!F187*$D$5*(1+$D$6)</f>
        <v/>
      </c>
      <c r="AF68" s="40">
        <f>Monatsabrechnung!G187*$D$5*(1+$D$6)</f>
        <v/>
      </c>
      <c r="AG68" s="40">
        <f>Monatsabrechnung!H187*$D$5*(1+$D$6)</f>
        <v/>
      </c>
      <c r="AH68" s="40">
        <f>Monatsabrechnung!I187*$D$5*(1+$D$6)</f>
        <v/>
      </c>
      <c r="AI68" s="40">
        <f>Monatsabrechnung!J187*$D$5*(1+$D$6)</f>
        <v/>
      </c>
      <c r="AJ68" s="40">
        <f>Monatsabrechnung!K187*$D$5*(1+$D$6)</f>
        <v/>
      </c>
      <c r="AK68" s="40">
        <f>Monatsabrechnung!L187*$D$5*(1+$D$6)</f>
        <v/>
      </c>
      <c r="AL68" s="40">
        <f>Monatsabrechnung!M187*$D$5*(1+$D$6)</f>
        <v/>
      </c>
      <c r="AM68" s="40">
        <f>Monatsabrechnung!N187*$D$5*(1+$D$6)</f>
        <v/>
      </c>
      <c r="AN68" s="40">
        <f>Monatsabrechnung!O187*$D$5*(1+$D$6)</f>
        <v/>
      </c>
      <c r="AO68" s="40">
        <f>Monatsabrechnung!P187*$D$5*(1+$D$6)</f>
        <v/>
      </c>
      <c r="AP68" s="28">
        <f>SUM(AD68:AO68)</f>
        <v/>
      </c>
      <c r="AQ68" s="59">
        <f>P68+AC68+AP68</f>
        <v/>
      </c>
    </row>
    <row r="69">
      <c r="A69" s="89">
        <f>Stammdaten!A69</f>
        <v/>
      </c>
      <c r="B69" s="67">
        <f>Stammdaten!B69</f>
        <v/>
      </c>
      <c r="C69" s="67">
        <f>Stammdaten!C69</f>
        <v/>
      </c>
      <c r="D69" s="40">
        <f>Monatsabrechnung!E190*$D$6</f>
        <v/>
      </c>
      <c r="E69" s="40">
        <f>Monatsabrechnung!F190*$D$6</f>
        <v/>
      </c>
      <c r="F69" s="40">
        <f>Monatsabrechnung!G190*$D$6</f>
        <v/>
      </c>
      <c r="G69" s="40">
        <f>Monatsabrechnung!H190*$D$6</f>
        <v/>
      </c>
      <c r="H69" s="40">
        <f>Monatsabrechnung!I190*$D$6</f>
        <v/>
      </c>
      <c r="I69" s="40">
        <f>Monatsabrechnung!J190*$D$6</f>
        <v/>
      </c>
      <c r="J69" s="40">
        <f>Monatsabrechnung!K190*$D$6</f>
        <v/>
      </c>
      <c r="K69" s="40">
        <f>Monatsabrechnung!L190*$D$6</f>
        <v/>
      </c>
      <c r="L69" s="40">
        <f>Monatsabrechnung!M190*$D$6</f>
        <v/>
      </c>
      <c r="M69" s="40">
        <f>Monatsabrechnung!N190*$D$6</f>
        <v/>
      </c>
      <c r="N69" s="40">
        <f>Monatsabrechnung!O190*$D$6</f>
        <v/>
      </c>
      <c r="O69" s="40">
        <f>Monatsabrechnung!P190*$D$6</f>
        <v/>
      </c>
      <c r="P69" s="28">
        <f>SUM(D69:O69)</f>
        <v/>
      </c>
      <c r="Q69" s="40">
        <f>Monatsabrechnung!E190*$D$4*(1+$D$6)</f>
        <v/>
      </c>
      <c r="R69" s="40">
        <f>Monatsabrechnung!F190*$D$4*(1+$D$6)</f>
        <v/>
      </c>
      <c r="S69" s="40">
        <f>Monatsabrechnung!G190*$D$4*(1+$D$6)</f>
        <v/>
      </c>
      <c r="T69" s="40">
        <f>Monatsabrechnung!H190*$D$4*(1+$D$6)</f>
        <v/>
      </c>
      <c r="U69" s="40">
        <f>Monatsabrechnung!I190*$D$4*(1+$D$6)</f>
        <v/>
      </c>
      <c r="V69" s="40">
        <f>Monatsabrechnung!J190*$D$4*(1+$D$6)</f>
        <v/>
      </c>
      <c r="W69" s="40">
        <f>Monatsabrechnung!K190*$D$4*(1+$D$6)</f>
        <v/>
      </c>
      <c r="X69" s="40">
        <f>Monatsabrechnung!L190*$D$4*(1+$D$6)</f>
        <v/>
      </c>
      <c r="Y69" s="40">
        <f>Monatsabrechnung!M190*$D$4*(1+$D$6)</f>
        <v/>
      </c>
      <c r="Z69" s="40">
        <f>Monatsabrechnung!N190*$D$4*(1+$D$6)</f>
        <v/>
      </c>
      <c r="AA69" s="40">
        <f>Monatsabrechnung!O190*$D$4*(1+$D$6)</f>
        <v/>
      </c>
      <c r="AB69" s="40">
        <f>Monatsabrechnung!P190*$D$4*(1+$D$6)</f>
        <v/>
      </c>
      <c r="AC69" s="28">
        <f>SUM(Q69:AB69)</f>
        <v/>
      </c>
      <c r="AD69" s="40">
        <f>Monatsabrechnung!E190*$D$5*(1+$D$6)</f>
        <v/>
      </c>
      <c r="AE69" s="40">
        <f>Monatsabrechnung!F190*$D$5*(1+$D$6)</f>
        <v/>
      </c>
      <c r="AF69" s="40">
        <f>Monatsabrechnung!G190*$D$5*(1+$D$6)</f>
        <v/>
      </c>
      <c r="AG69" s="40">
        <f>Monatsabrechnung!H190*$D$5*(1+$D$6)</f>
        <v/>
      </c>
      <c r="AH69" s="40">
        <f>Monatsabrechnung!I190*$D$5*(1+$D$6)</f>
        <v/>
      </c>
      <c r="AI69" s="40">
        <f>Monatsabrechnung!J190*$D$5*(1+$D$6)</f>
        <v/>
      </c>
      <c r="AJ69" s="40">
        <f>Monatsabrechnung!K190*$D$5*(1+$D$6)</f>
        <v/>
      </c>
      <c r="AK69" s="40">
        <f>Monatsabrechnung!L190*$D$5*(1+$D$6)</f>
        <v/>
      </c>
      <c r="AL69" s="40">
        <f>Monatsabrechnung!M190*$D$5*(1+$D$6)</f>
        <v/>
      </c>
      <c r="AM69" s="40">
        <f>Monatsabrechnung!N190*$D$5*(1+$D$6)</f>
        <v/>
      </c>
      <c r="AN69" s="40">
        <f>Monatsabrechnung!O190*$D$5*(1+$D$6)</f>
        <v/>
      </c>
      <c r="AO69" s="40">
        <f>Monatsabrechnung!P190*$D$5*(1+$D$6)</f>
        <v/>
      </c>
      <c r="AP69" s="28">
        <f>SUM(AD69:AO69)</f>
        <v/>
      </c>
      <c r="AQ69" s="59">
        <f>P69+AC69+AP69</f>
        <v/>
      </c>
    </row>
    <row r="70">
      <c r="A70" s="89">
        <f>Stammdaten!A70</f>
        <v/>
      </c>
      <c r="B70" s="67">
        <f>Stammdaten!B70</f>
        <v/>
      </c>
      <c r="C70" s="67">
        <f>Stammdaten!C70</f>
        <v/>
      </c>
      <c r="D70" s="40">
        <f>Monatsabrechnung!E193*$D$6</f>
        <v/>
      </c>
      <c r="E70" s="40">
        <f>Monatsabrechnung!F193*$D$6</f>
        <v/>
      </c>
      <c r="F70" s="40">
        <f>Monatsabrechnung!G193*$D$6</f>
        <v/>
      </c>
      <c r="G70" s="40">
        <f>Monatsabrechnung!H193*$D$6</f>
        <v/>
      </c>
      <c r="H70" s="40">
        <f>Monatsabrechnung!I193*$D$6</f>
        <v/>
      </c>
      <c r="I70" s="40">
        <f>Monatsabrechnung!J193*$D$6</f>
        <v/>
      </c>
      <c r="J70" s="40">
        <f>Monatsabrechnung!K193*$D$6</f>
        <v/>
      </c>
      <c r="K70" s="40">
        <f>Monatsabrechnung!L193*$D$6</f>
        <v/>
      </c>
      <c r="L70" s="40">
        <f>Monatsabrechnung!M193*$D$6</f>
        <v/>
      </c>
      <c r="M70" s="40">
        <f>Monatsabrechnung!N193*$D$6</f>
        <v/>
      </c>
      <c r="N70" s="40">
        <f>Monatsabrechnung!O193*$D$6</f>
        <v/>
      </c>
      <c r="O70" s="40">
        <f>Monatsabrechnung!P193*$D$6</f>
        <v/>
      </c>
      <c r="P70" s="28">
        <f>SUM(D70:O70)</f>
        <v/>
      </c>
      <c r="Q70" s="40">
        <f>Monatsabrechnung!E193*$D$4*(1+$D$6)</f>
        <v/>
      </c>
      <c r="R70" s="40">
        <f>Monatsabrechnung!F193*$D$4*(1+$D$6)</f>
        <v/>
      </c>
      <c r="S70" s="40">
        <f>Monatsabrechnung!G193*$D$4*(1+$D$6)</f>
        <v/>
      </c>
      <c r="T70" s="40">
        <f>Monatsabrechnung!H193*$D$4*(1+$D$6)</f>
        <v/>
      </c>
      <c r="U70" s="40">
        <f>Monatsabrechnung!I193*$D$4*(1+$D$6)</f>
        <v/>
      </c>
      <c r="V70" s="40">
        <f>Monatsabrechnung!J193*$D$4*(1+$D$6)</f>
        <v/>
      </c>
      <c r="W70" s="40">
        <f>Monatsabrechnung!K193*$D$4*(1+$D$6)</f>
        <v/>
      </c>
      <c r="X70" s="40">
        <f>Monatsabrechnung!L193*$D$4*(1+$D$6)</f>
        <v/>
      </c>
      <c r="Y70" s="40">
        <f>Monatsabrechnung!M193*$D$4*(1+$D$6)</f>
        <v/>
      </c>
      <c r="Z70" s="40">
        <f>Monatsabrechnung!N193*$D$4*(1+$D$6)</f>
        <v/>
      </c>
      <c r="AA70" s="40">
        <f>Monatsabrechnung!O193*$D$4*(1+$D$6)</f>
        <v/>
      </c>
      <c r="AB70" s="40">
        <f>Monatsabrechnung!P193*$D$4*(1+$D$6)</f>
        <v/>
      </c>
      <c r="AC70" s="28">
        <f>SUM(Q70:AB70)</f>
        <v/>
      </c>
      <c r="AD70" s="40">
        <f>Monatsabrechnung!E193*$D$5*(1+$D$6)</f>
        <v/>
      </c>
      <c r="AE70" s="40">
        <f>Monatsabrechnung!F193*$D$5*(1+$D$6)</f>
        <v/>
      </c>
      <c r="AF70" s="40">
        <f>Monatsabrechnung!G193*$D$5*(1+$D$6)</f>
        <v/>
      </c>
      <c r="AG70" s="40">
        <f>Monatsabrechnung!H193*$D$5*(1+$D$6)</f>
        <v/>
      </c>
      <c r="AH70" s="40">
        <f>Monatsabrechnung!I193*$D$5*(1+$D$6)</f>
        <v/>
      </c>
      <c r="AI70" s="40">
        <f>Monatsabrechnung!J193*$D$5*(1+$D$6)</f>
        <v/>
      </c>
      <c r="AJ70" s="40">
        <f>Monatsabrechnung!K193*$D$5*(1+$D$6)</f>
        <v/>
      </c>
      <c r="AK70" s="40">
        <f>Monatsabrechnung!L193*$D$5*(1+$D$6)</f>
        <v/>
      </c>
      <c r="AL70" s="40">
        <f>Monatsabrechnung!M193*$D$5*(1+$D$6)</f>
        <v/>
      </c>
      <c r="AM70" s="40">
        <f>Monatsabrechnung!N193*$D$5*(1+$D$6)</f>
        <v/>
      </c>
      <c r="AN70" s="40">
        <f>Monatsabrechnung!O193*$D$5*(1+$D$6)</f>
        <v/>
      </c>
      <c r="AO70" s="40">
        <f>Monatsabrechnung!P193*$D$5*(1+$D$6)</f>
        <v/>
      </c>
      <c r="AP70" s="28">
        <f>SUM(AD70:AO70)</f>
        <v/>
      </c>
      <c r="AQ70" s="59">
        <f>P70+AC70+AP70</f>
        <v/>
      </c>
    </row>
    <row r="71">
      <c r="A71" s="89">
        <f>Stammdaten!A71</f>
        <v/>
      </c>
      <c r="B71" s="67">
        <f>Stammdaten!B71</f>
        <v/>
      </c>
      <c r="C71" s="67">
        <f>Stammdaten!C71</f>
        <v/>
      </c>
      <c r="D71" s="40">
        <f>Monatsabrechnung!E196*$D$6</f>
        <v/>
      </c>
      <c r="E71" s="40">
        <f>Monatsabrechnung!F196*$D$6</f>
        <v/>
      </c>
      <c r="F71" s="40">
        <f>Monatsabrechnung!G196*$D$6</f>
        <v/>
      </c>
      <c r="G71" s="40">
        <f>Monatsabrechnung!H196*$D$6</f>
        <v/>
      </c>
      <c r="H71" s="40">
        <f>Monatsabrechnung!I196*$D$6</f>
        <v/>
      </c>
      <c r="I71" s="40">
        <f>Monatsabrechnung!J196*$D$6</f>
        <v/>
      </c>
      <c r="J71" s="40">
        <f>Monatsabrechnung!K196*$D$6</f>
        <v/>
      </c>
      <c r="K71" s="40">
        <f>Monatsabrechnung!L196*$D$6</f>
        <v/>
      </c>
      <c r="L71" s="40">
        <f>Monatsabrechnung!M196*$D$6</f>
        <v/>
      </c>
      <c r="M71" s="40">
        <f>Monatsabrechnung!N196*$D$6</f>
        <v/>
      </c>
      <c r="N71" s="40">
        <f>Monatsabrechnung!O196*$D$6</f>
        <v/>
      </c>
      <c r="O71" s="40">
        <f>Monatsabrechnung!P196*$D$6</f>
        <v/>
      </c>
      <c r="P71" s="28">
        <f>SUM(D71:O71)</f>
        <v/>
      </c>
      <c r="Q71" s="40">
        <f>Monatsabrechnung!E196*$D$4*(1+$D$6)</f>
        <v/>
      </c>
      <c r="R71" s="40">
        <f>Monatsabrechnung!F196*$D$4*(1+$D$6)</f>
        <v/>
      </c>
      <c r="S71" s="40">
        <f>Monatsabrechnung!G196*$D$4*(1+$D$6)</f>
        <v/>
      </c>
      <c r="T71" s="40">
        <f>Monatsabrechnung!H196*$D$4*(1+$D$6)</f>
        <v/>
      </c>
      <c r="U71" s="40">
        <f>Monatsabrechnung!I196*$D$4*(1+$D$6)</f>
        <v/>
      </c>
      <c r="V71" s="40">
        <f>Monatsabrechnung!J196*$D$4*(1+$D$6)</f>
        <v/>
      </c>
      <c r="W71" s="40">
        <f>Monatsabrechnung!K196*$D$4*(1+$D$6)</f>
        <v/>
      </c>
      <c r="X71" s="40">
        <f>Monatsabrechnung!L196*$D$4*(1+$D$6)</f>
        <v/>
      </c>
      <c r="Y71" s="40">
        <f>Monatsabrechnung!M196*$D$4*(1+$D$6)</f>
        <v/>
      </c>
      <c r="Z71" s="40">
        <f>Monatsabrechnung!N196*$D$4*(1+$D$6)</f>
        <v/>
      </c>
      <c r="AA71" s="40">
        <f>Monatsabrechnung!O196*$D$4*(1+$D$6)</f>
        <v/>
      </c>
      <c r="AB71" s="40">
        <f>Monatsabrechnung!P196*$D$4*(1+$D$6)</f>
        <v/>
      </c>
      <c r="AC71" s="28">
        <f>SUM(Q71:AB71)</f>
        <v/>
      </c>
      <c r="AD71" s="40">
        <f>Monatsabrechnung!E196*$D$5*(1+$D$6)</f>
        <v/>
      </c>
      <c r="AE71" s="40">
        <f>Monatsabrechnung!F196*$D$5*(1+$D$6)</f>
        <v/>
      </c>
      <c r="AF71" s="40">
        <f>Monatsabrechnung!G196*$D$5*(1+$D$6)</f>
        <v/>
      </c>
      <c r="AG71" s="40">
        <f>Monatsabrechnung!H196*$D$5*(1+$D$6)</f>
        <v/>
      </c>
      <c r="AH71" s="40">
        <f>Monatsabrechnung!I196*$D$5*(1+$D$6)</f>
        <v/>
      </c>
      <c r="AI71" s="40">
        <f>Monatsabrechnung!J196*$D$5*(1+$D$6)</f>
        <v/>
      </c>
      <c r="AJ71" s="40">
        <f>Monatsabrechnung!K196*$D$5*(1+$D$6)</f>
        <v/>
      </c>
      <c r="AK71" s="40">
        <f>Monatsabrechnung!L196*$D$5*(1+$D$6)</f>
        <v/>
      </c>
      <c r="AL71" s="40">
        <f>Monatsabrechnung!M196*$D$5*(1+$D$6)</f>
        <v/>
      </c>
      <c r="AM71" s="40">
        <f>Monatsabrechnung!N196*$D$5*(1+$D$6)</f>
        <v/>
      </c>
      <c r="AN71" s="40">
        <f>Monatsabrechnung!O196*$D$5*(1+$D$6)</f>
        <v/>
      </c>
      <c r="AO71" s="40">
        <f>Monatsabrechnung!P196*$D$5*(1+$D$6)</f>
        <v/>
      </c>
      <c r="AP71" s="28">
        <f>SUM(AD71:AO71)</f>
        <v/>
      </c>
      <c r="AQ71" s="59">
        <f>P71+AC71+AP71</f>
        <v/>
      </c>
    </row>
    <row r="72">
      <c r="A72" s="89">
        <f>Stammdaten!A72</f>
        <v/>
      </c>
      <c r="B72" s="67">
        <f>Stammdaten!B72</f>
        <v/>
      </c>
      <c r="C72" s="67">
        <f>Stammdaten!C72</f>
        <v/>
      </c>
      <c r="D72" s="40">
        <f>Monatsabrechnung!E199*$D$6</f>
        <v/>
      </c>
      <c r="E72" s="40">
        <f>Monatsabrechnung!F199*$D$6</f>
        <v/>
      </c>
      <c r="F72" s="40">
        <f>Monatsabrechnung!G199*$D$6</f>
        <v/>
      </c>
      <c r="G72" s="40">
        <f>Monatsabrechnung!H199*$D$6</f>
        <v/>
      </c>
      <c r="H72" s="40">
        <f>Monatsabrechnung!I199*$D$6</f>
        <v/>
      </c>
      <c r="I72" s="40">
        <f>Monatsabrechnung!J199*$D$6</f>
        <v/>
      </c>
      <c r="J72" s="40">
        <f>Monatsabrechnung!K199*$D$6</f>
        <v/>
      </c>
      <c r="K72" s="40">
        <f>Monatsabrechnung!L199*$D$6</f>
        <v/>
      </c>
      <c r="L72" s="40">
        <f>Monatsabrechnung!M199*$D$6</f>
        <v/>
      </c>
      <c r="M72" s="40">
        <f>Monatsabrechnung!N199*$D$6</f>
        <v/>
      </c>
      <c r="N72" s="40">
        <f>Monatsabrechnung!O199*$D$6</f>
        <v/>
      </c>
      <c r="O72" s="40">
        <f>Monatsabrechnung!P199*$D$6</f>
        <v/>
      </c>
      <c r="P72" s="28">
        <f>SUM(D72:O72)</f>
        <v/>
      </c>
      <c r="Q72" s="40">
        <f>Monatsabrechnung!E199*$D$4*(1+$D$6)</f>
        <v/>
      </c>
      <c r="R72" s="40">
        <f>Monatsabrechnung!F199*$D$4*(1+$D$6)</f>
        <v/>
      </c>
      <c r="S72" s="40">
        <f>Monatsabrechnung!G199*$D$4*(1+$D$6)</f>
        <v/>
      </c>
      <c r="T72" s="40">
        <f>Monatsabrechnung!H199*$D$4*(1+$D$6)</f>
        <v/>
      </c>
      <c r="U72" s="40">
        <f>Monatsabrechnung!I199*$D$4*(1+$D$6)</f>
        <v/>
      </c>
      <c r="V72" s="40">
        <f>Monatsabrechnung!J199*$D$4*(1+$D$6)</f>
        <v/>
      </c>
      <c r="W72" s="40">
        <f>Monatsabrechnung!K199*$D$4*(1+$D$6)</f>
        <v/>
      </c>
      <c r="X72" s="40">
        <f>Monatsabrechnung!L199*$D$4*(1+$D$6)</f>
        <v/>
      </c>
      <c r="Y72" s="40">
        <f>Monatsabrechnung!M199*$D$4*(1+$D$6)</f>
        <v/>
      </c>
      <c r="Z72" s="40">
        <f>Monatsabrechnung!N199*$D$4*(1+$D$6)</f>
        <v/>
      </c>
      <c r="AA72" s="40">
        <f>Monatsabrechnung!O199*$D$4*(1+$D$6)</f>
        <v/>
      </c>
      <c r="AB72" s="40">
        <f>Monatsabrechnung!P199*$D$4*(1+$D$6)</f>
        <v/>
      </c>
      <c r="AC72" s="28">
        <f>SUM(Q72:AB72)</f>
        <v/>
      </c>
      <c r="AD72" s="40">
        <f>Monatsabrechnung!E199*$D$5*(1+$D$6)</f>
        <v/>
      </c>
      <c r="AE72" s="40">
        <f>Monatsabrechnung!F199*$D$5*(1+$D$6)</f>
        <v/>
      </c>
      <c r="AF72" s="40">
        <f>Monatsabrechnung!G199*$D$5*(1+$D$6)</f>
        <v/>
      </c>
      <c r="AG72" s="40">
        <f>Monatsabrechnung!H199*$D$5*(1+$D$6)</f>
        <v/>
      </c>
      <c r="AH72" s="40">
        <f>Monatsabrechnung!I199*$D$5*(1+$D$6)</f>
        <v/>
      </c>
      <c r="AI72" s="40">
        <f>Monatsabrechnung!J199*$D$5*(1+$D$6)</f>
        <v/>
      </c>
      <c r="AJ72" s="40">
        <f>Monatsabrechnung!K199*$D$5*(1+$D$6)</f>
        <v/>
      </c>
      <c r="AK72" s="40">
        <f>Monatsabrechnung!L199*$D$5*(1+$D$6)</f>
        <v/>
      </c>
      <c r="AL72" s="40">
        <f>Monatsabrechnung!M199*$D$5*(1+$D$6)</f>
        <v/>
      </c>
      <c r="AM72" s="40">
        <f>Monatsabrechnung!N199*$D$5*(1+$D$6)</f>
        <v/>
      </c>
      <c r="AN72" s="40">
        <f>Monatsabrechnung!O199*$D$5*(1+$D$6)</f>
        <v/>
      </c>
      <c r="AO72" s="40">
        <f>Monatsabrechnung!P199*$D$5*(1+$D$6)</f>
        <v/>
      </c>
      <c r="AP72" s="28">
        <f>SUM(AD72:AO72)</f>
        <v/>
      </c>
      <c r="AQ72" s="59">
        <f>P72+AC72+AP72</f>
        <v/>
      </c>
    </row>
    <row r="73">
      <c r="A73" s="89">
        <f>Stammdaten!A73</f>
        <v/>
      </c>
      <c r="B73" s="67">
        <f>Stammdaten!B73</f>
        <v/>
      </c>
      <c r="C73" s="67">
        <f>Stammdaten!C73</f>
        <v/>
      </c>
      <c r="D73" s="40">
        <f>Monatsabrechnung!E202*$D$6</f>
        <v/>
      </c>
      <c r="E73" s="40">
        <f>Monatsabrechnung!F202*$D$6</f>
        <v/>
      </c>
      <c r="F73" s="40">
        <f>Monatsabrechnung!G202*$D$6</f>
        <v/>
      </c>
      <c r="G73" s="40">
        <f>Monatsabrechnung!H202*$D$6</f>
        <v/>
      </c>
      <c r="H73" s="40">
        <f>Monatsabrechnung!I202*$D$6</f>
        <v/>
      </c>
      <c r="I73" s="40">
        <f>Monatsabrechnung!J202*$D$6</f>
        <v/>
      </c>
      <c r="J73" s="40">
        <f>Monatsabrechnung!K202*$D$6</f>
        <v/>
      </c>
      <c r="K73" s="40">
        <f>Monatsabrechnung!L202*$D$6</f>
        <v/>
      </c>
      <c r="L73" s="40">
        <f>Monatsabrechnung!M202*$D$6</f>
        <v/>
      </c>
      <c r="M73" s="40">
        <f>Monatsabrechnung!N202*$D$6</f>
        <v/>
      </c>
      <c r="N73" s="40">
        <f>Monatsabrechnung!O202*$D$6</f>
        <v/>
      </c>
      <c r="O73" s="40">
        <f>Monatsabrechnung!P202*$D$6</f>
        <v/>
      </c>
      <c r="P73" s="28">
        <f>SUM(D73:O73)</f>
        <v/>
      </c>
      <c r="Q73" s="40">
        <f>Monatsabrechnung!E202*$D$4*(1+$D$6)</f>
        <v/>
      </c>
      <c r="R73" s="40">
        <f>Monatsabrechnung!F202*$D$4*(1+$D$6)</f>
        <v/>
      </c>
      <c r="S73" s="40">
        <f>Monatsabrechnung!G202*$D$4*(1+$D$6)</f>
        <v/>
      </c>
      <c r="T73" s="40">
        <f>Monatsabrechnung!H202*$D$4*(1+$D$6)</f>
        <v/>
      </c>
      <c r="U73" s="40">
        <f>Monatsabrechnung!I202*$D$4*(1+$D$6)</f>
        <v/>
      </c>
      <c r="V73" s="40">
        <f>Monatsabrechnung!J202*$D$4*(1+$D$6)</f>
        <v/>
      </c>
      <c r="W73" s="40">
        <f>Monatsabrechnung!K202*$D$4*(1+$D$6)</f>
        <v/>
      </c>
      <c r="X73" s="40">
        <f>Monatsabrechnung!L202*$D$4*(1+$D$6)</f>
        <v/>
      </c>
      <c r="Y73" s="40">
        <f>Monatsabrechnung!M202*$D$4*(1+$D$6)</f>
        <v/>
      </c>
      <c r="Z73" s="40">
        <f>Monatsabrechnung!N202*$D$4*(1+$D$6)</f>
        <v/>
      </c>
      <c r="AA73" s="40">
        <f>Monatsabrechnung!O202*$D$4*(1+$D$6)</f>
        <v/>
      </c>
      <c r="AB73" s="40">
        <f>Monatsabrechnung!P202*$D$4*(1+$D$6)</f>
        <v/>
      </c>
      <c r="AC73" s="28">
        <f>SUM(Q73:AB73)</f>
        <v/>
      </c>
      <c r="AD73" s="40">
        <f>Monatsabrechnung!E202*$D$5*(1+$D$6)</f>
        <v/>
      </c>
      <c r="AE73" s="40">
        <f>Monatsabrechnung!F202*$D$5*(1+$D$6)</f>
        <v/>
      </c>
      <c r="AF73" s="40">
        <f>Monatsabrechnung!G202*$D$5*(1+$D$6)</f>
        <v/>
      </c>
      <c r="AG73" s="40">
        <f>Monatsabrechnung!H202*$D$5*(1+$D$6)</f>
        <v/>
      </c>
      <c r="AH73" s="40">
        <f>Monatsabrechnung!I202*$D$5*(1+$D$6)</f>
        <v/>
      </c>
      <c r="AI73" s="40">
        <f>Monatsabrechnung!J202*$D$5*(1+$D$6)</f>
        <v/>
      </c>
      <c r="AJ73" s="40">
        <f>Monatsabrechnung!K202*$D$5*(1+$D$6)</f>
        <v/>
      </c>
      <c r="AK73" s="40">
        <f>Monatsabrechnung!L202*$D$5*(1+$D$6)</f>
        <v/>
      </c>
      <c r="AL73" s="40">
        <f>Monatsabrechnung!M202*$D$5*(1+$D$6)</f>
        <v/>
      </c>
      <c r="AM73" s="40">
        <f>Monatsabrechnung!N202*$D$5*(1+$D$6)</f>
        <v/>
      </c>
      <c r="AN73" s="40">
        <f>Monatsabrechnung!O202*$D$5*(1+$D$6)</f>
        <v/>
      </c>
      <c r="AO73" s="40">
        <f>Monatsabrechnung!P202*$D$5*(1+$D$6)</f>
        <v/>
      </c>
      <c r="AP73" s="28">
        <f>SUM(AD73:AO73)</f>
        <v/>
      </c>
      <c r="AQ73" s="59">
        <f>P73+AC73+AP73</f>
        <v/>
      </c>
    </row>
    <row r="74">
      <c r="A74" s="89">
        <f>Stammdaten!A74</f>
        <v/>
      </c>
      <c r="B74" s="67">
        <f>Stammdaten!B74</f>
        <v/>
      </c>
      <c r="C74" s="67">
        <f>Stammdaten!C74</f>
        <v/>
      </c>
      <c r="D74" s="40">
        <f>Monatsabrechnung!E205*$D$6</f>
        <v/>
      </c>
      <c r="E74" s="40">
        <f>Monatsabrechnung!F205*$D$6</f>
        <v/>
      </c>
      <c r="F74" s="40">
        <f>Monatsabrechnung!G205*$D$6</f>
        <v/>
      </c>
      <c r="G74" s="40">
        <f>Monatsabrechnung!H205*$D$6</f>
        <v/>
      </c>
      <c r="H74" s="40">
        <f>Monatsabrechnung!I205*$D$6</f>
        <v/>
      </c>
      <c r="I74" s="40">
        <f>Monatsabrechnung!J205*$D$6</f>
        <v/>
      </c>
      <c r="J74" s="40">
        <f>Monatsabrechnung!K205*$D$6</f>
        <v/>
      </c>
      <c r="K74" s="40">
        <f>Monatsabrechnung!L205*$D$6</f>
        <v/>
      </c>
      <c r="L74" s="40">
        <f>Monatsabrechnung!M205*$D$6</f>
        <v/>
      </c>
      <c r="M74" s="40">
        <f>Monatsabrechnung!N205*$D$6</f>
        <v/>
      </c>
      <c r="N74" s="40">
        <f>Monatsabrechnung!O205*$D$6</f>
        <v/>
      </c>
      <c r="O74" s="40">
        <f>Monatsabrechnung!P205*$D$6</f>
        <v/>
      </c>
      <c r="P74" s="28">
        <f>SUM(D74:O74)</f>
        <v/>
      </c>
      <c r="Q74" s="40">
        <f>Monatsabrechnung!E205*$D$4*(1+$D$6)</f>
        <v/>
      </c>
      <c r="R74" s="40">
        <f>Monatsabrechnung!F205*$D$4*(1+$D$6)</f>
        <v/>
      </c>
      <c r="S74" s="40">
        <f>Monatsabrechnung!G205*$D$4*(1+$D$6)</f>
        <v/>
      </c>
      <c r="T74" s="40">
        <f>Monatsabrechnung!H205*$D$4*(1+$D$6)</f>
        <v/>
      </c>
      <c r="U74" s="40">
        <f>Monatsabrechnung!I205*$D$4*(1+$D$6)</f>
        <v/>
      </c>
      <c r="V74" s="40">
        <f>Monatsabrechnung!J205*$D$4*(1+$D$6)</f>
        <v/>
      </c>
      <c r="W74" s="40">
        <f>Monatsabrechnung!K205*$D$4*(1+$D$6)</f>
        <v/>
      </c>
      <c r="X74" s="40">
        <f>Monatsabrechnung!L205*$D$4*(1+$D$6)</f>
        <v/>
      </c>
      <c r="Y74" s="40">
        <f>Monatsabrechnung!M205*$D$4*(1+$D$6)</f>
        <v/>
      </c>
      <c r="Z74" s="40">
        <f>Monatsabrechnung!N205*$D$4*(1+$D$6)</f>
        <v/>
      </c>
      <c r="AA74" s="40">
        <f>Monatsabrechnung!O205*$D$4*(1+$D$6)</f>
        <v/>
      </c>
      <c r="AB74" s="40">
        <f>Monatsabrechnung!P205*$D$4*(1+$D$6)</f>
        <v/>
      </c>
      <c r="AC74" s="28">
        <f>SUM(Q74:AB74)</f>
        <v/>
      </c>
      <c r="AD74" s="40">
        <f>Monatsabrechnung!E205*$D$5*(1+$D$6)</f>
        <v/>
      </c>
      <c r="AE74" s="40">
        <f>Monatsabrechnung!F205*$D$5*(1+$D$6)</f>
        <v/>
      </c>
      <c r="AF74" s="40">
        <f>Monatsabrechnung!G205*$D$5*(1+$D$6)</f>
        <v/>
      </c>
      <c r="AG74" s="40">
        <f>Monatsabrechnung!H205*$D$5*(1+$D$6)</f>
        <v/>
      </c>
      <c r="AH74" s="40">
        <f>Monatsabrechnung!I205*$D$5*(1+$D$6)</f>
        <v/>
      </c>
      <c r="AI74" s="40">
        <f>Monatsabrechnung!J205*$D$5*(1+$D$6)</f>
        <v/>
      </c>
      <c r="AJ74" s="40">
        <f>Monatsabrechnung!K205*$D$5*(1+$D$6)</f>
        <v/>
      </c>
      <c r="AK74" s="40">
        <f>Monatsabrechnung!L205*$D$5*(1+$D$6)</f>
        <v/>
      </c>
      <c r="AL74" s="40">
        <f>Monatsabrechnung!M205*$D$5*(1+$D$6)</f>
        <v/>
      </c>
      <c r="AM74" s="40">
        <f>Monatsabrechnung!N205*$D$5*(1+$D$6)</f>
        <v/>
      </c>
      <c r="AN74" s="40">
        <f>Monatsabrechnung!O205*$D$5*(1+$D$6)</f>
        <v/>
      </c>
      <c r="AO74" s="40">
        <f>Monatsabrechnung!P205*$D$5*(1+$D$6)</f>
        <v/>
      </c>
      <c r="AP74" s="28">
        <f>SUM(AD74:AO74)</f>
        <v/>
      </c>
      <c r="AQ74" s="59">
        <f>P74+AC74+AP74</f>
        <v/>
      </c>
    </row>
    <row r="75">
      <c r="A75" s="89">
        <f>Stammdaten!A75</f>
        <v/>
      </c>
      <c r="B75" s="67">
        <f>Stammdaten!B75</f>
        <v/>
      </c>
      <c r="C75" s="67">
        <f>Stammdaten!C75</f>
        <v/>
      </c>
      <c r="D75" s="40">
        <f>Monatsabrechnung!E208*$D$6</f>
        <v/>
      </c>
      <c r="E75" s="40">
        <f>Monatsabrechnung!F208*$D$6</f>
        <v/>
      </c>
      <c r="F75" s="40">
        <f>Monatsabrechnung!G208*$D$6</f>
        <v/>
      </c>
      <c r="G75" s="40">
        <f>Monatsabrechnung!H208*$D$6</f>
        <v/>
      </c>
      <c r="H75" s="40">
        <f>Monatsabrechnung!I208*$D$6</f>
        <v/>
      </c>
      <c r="I75" s="40">
        <f>Monatsabrechnung!J208*$D$6</f>
        <v/>
      </c>
      <c r="J75" s="40">
        <f>Monatsabrechnung!K208*$D$6</f>
        <v/>
      </c>
      <c r="K75" s="40">
        <f>Monatsabrechnung!L208*$D$6</f>
        <v/>
      </c>
      <c r="L75" s="40">
        <f>Monatsabrechnung!M208*$D$6</f>
        <v/>
      </c>
      <c r="M75" s="40">
        <f>Monatsabrechnung!N208*$D$6</f>
        <v/>
      </c>
      <c r="N75" s="40">
        <f>Monatsabrechnung!O208*$D$6</f>
        <v/>
      </c>
      <c r="O75" s="40">
        <f>Monatsabrechnung!P208*$D$6</f>
        <v/>
      </c>
      <c r="P75" s="28">
        <f>SUM(D75:O75)</f>
        <v/>
      </c>
      <c r="Q75" s="40">
        <f>Monatsabrechnung!E208*$D$4*(1+$D$6)</f>
        <v/>
      </c>
      <c r="R75" s="40">
        <f>Monatsabrechnung!F208*$D$4*(1+$D$6)</f>
        <v/>
      </c>
      <c r="S75" s="40">
        <f>Monatsabrechnung!G208*$D$4*(1+$D$6)</f>
        <v/>
      </c>
      <c r="T75" s="40">
        <f>Monatsabrechnung!H208*$D$4*(1+$D$6)</f>
        <v/>
      </c>
      <c r="U75" s="40">
        <f>Monatsabrechnung!I208*$D$4*(1+$D$6)</f>
        <v/>
      </c>
      <c r="V75" s="40">
        <f>Monatsabrechnung!J208*$D$4*(1+$D$6)</f>
        <v/>
      </c>
      <c r="W75" s="40">
        <f>Monatsabrechnung!K208*$D$4*(1+$D$6)</f>
        <v/>
      </c>
      <c r="X75" s="40">
        <f>Monatsabrechnung!L208*$D$4*(1+$D$6)</f>
        <v/>
      </c>
      <c r="Y75" s="40">
        <f>Monatsabrechnung!M208*$D$4*(1+$D$6)</f>
        <v/>
      </c>
      <c r="Z75" s="40">
        <f>Monatsabrechnung!N208*$D$4*(1+$D$6)</f>
        <v/>
      </c>
      <c r="AA75" s="40">
        <f>Monatsabrechnung!O208*$D$4*(1+$D$6)</f>
        <v/>
      </c>
      <c r="AB75" s="40">
        <f>Monatsabrechnung!P208*$D$4*(1+$D$6)</f>
        <v/>
      </c>
      <c r="AC75" s="28">
        <f>SUM(Q75:AB75)</f>
        <v/>
      </c>
      <c r="AD75" s="40">
        <f>Monatsabrechnung!E208*$D$5*(1+$D$6)</f>
        <v/>
      </c>
      <c r="AE75" s="40">
        <f>Monatsabrechnung!F208*$D$5*(1+$D$6)</f>
        <v/>
      </c>
      <c r="AF75" s="40">
        <f>Monatsabrechnung!G208*$D$5*(1+$D$6)</f>
        <v/>
      </c>
      <c r="AG75" s="40">
        <f>Monatsabrechnung!H208*$D$5*(1+$D$6)</f>
        <v/>
      </c>
      <c r="AH75" s="40">
        <f>Monatsabrechnung!I208*$D$5*(1+$D$6)</f>
        <v/>
      </c>
      <c r="AI75" s="40">
        <f>Monatsabrechnung!J208*$D$5*(1+$D$6)</f>
        <v/>
      </c>
      <c r="AJ75" s="40">
        <f>Monatsabrechnung!K208*$D$5*(1+$D$6)</f>
        <v/>
      </c>
      <c r="AK75" s="40">
        <f>Monatsabrechnung!L208*$D$5*(1+$D$6)</f>
        <v/>
      </c>
      <c r="AL75" s="40">
        <f>Monatsabrechnung!M208*$D$5*(1+$D$6)</f>
        <v/>
      </c>
      <c r="AM75" s="40">
        <f>Monatsabrechnung!N208*$D$5*(1+$D$6)</f>
        <v/>
      </c>
      <c r="AN75" s="40">
        <f>Monatsabrechnung!O208*$D$5*(1+$D$6)</f>
        <v/>
      </c>
      <c r="AO75" s="40">
        <f>Monatsabrechnung!P208*$D$5*(1+$D$6)</f>
        <v/>
      </c>
      <c r="AP75" s="28">
        <f>SUM(AD75:AO75)</f>
        <v/>
      </c>
      <c r="AQ75" s="59">
        <f>P75+AC75+AP75</f>
        <v/>
      </c>
    </row>
    <row r="76">
      <c r="A76" s="89">
        <f>Stammdaten!A76</f>
        <v/>
      </c>
      <c r="B76" s="67">
        <f>Stammdaten!B76</f>
        <v/>
      </c>
      <c r="C76" s="67">
        <f>Stammdaten!C76</f>
        <v/>
      </c>
      <c r="D76" s="40">
        <f>Monatsabrechnung!E211*$D$6</f>
        <v/>
      </c>
      <c r="E76" s="40">
        <f>Monatsabrechnung!F211*$D$6</f>
        <v/>
      </c>
      <c r="F76" s="40">
        <f>Monatsabrechnung!G211*$D$6</f>
        <v/>
      </c>
      <c r="G76" s="40">
        <f>Monatsabrechnung!H211*$D$6</f>
        <v/>
      </c>
      <c r="H76" s="40">
        <f>Monatsabrechnung!I211*$D$6</f>
        <v/>
      </c>
      <c r="I76" s="40">
        <f>Monatsabrechnung!J211*$D$6</f>
        <v/>
      </c>
      <c r="J76" s="40">
        <f>Monatsabrechnung!K211*$D$6</f>
        <v/>
      </c>
      <c r="K76" s="40">
        <f>Monatsabrechnung!L211*$D$6</f>
        <v/>
      </c>
      <c r="L76" s="40">
        <f>Monatsabrechnung!M211*$D$6</f>
        <v/>
      </c>
      <c r="M76" s="40">
        <f>Monatsabrechnung!N211*$D$6</f>
        <v/>
      </c>
      <c r="N76" s="40">
        <f>Monatsabrechnung!O211*$D$6</f>
        <v/>
      </c>
      <c r="O76" s="40">
        <f>Monatsabrechnung!P211*$D$6</f>
        <v/>
      </c>
      <c r="P76" s="28">
        <f>SUM(D76:O76)</f>
        <v/>
      </c>
      <c r="Q76" s="40">
        <f>Monatsabrechnung!E211*$D$4*(1+$D$6)</f>
        <v/>
      </c>
      <c r="R76" s="40">
        <f>Monatsabrechnung!F211*$D$4*(1+$D$6)</f>
        <v/>
      </c>
      <c r="S76" s="40">
        <f>Monatsabrechnung!G211*$D$4*(1+$D$6)</f>
        <v/>
      </c>
      <c r="T76" s="40">
        <f>Monatsabrechnung!H211*$D$4*(1+$D$6)</f>
        <v/>
      </c>
      <c r="U76" s="40">
        <f>Monatsabrechnung!I211*$D$4*(1+$D$6)</f>
        <v/>
      </c>
      <c r="V76" s="40">
        <f>Monatsabrechnung!J211*$D$4*(1+$D$6)</f>
        <v/>
      </c>
      <c r="W76" s="40">
        <f>Monatsabrechnung!K211*$D$4*(1+$D$6)</f>
        <v/>
      </c>
      <c r="X76" s="40">
        <f>Monatsabrechnung!L211*$D$4*(1+$D$6)</f>
        <v/>
      </c>
      <c r="Y76" s="40">
        <f>Monatsabrechnung!M211*$D$4*(1+$D$6)</f>
        <v/>
      </c>
      <c r="Z76" s="40">
        <f>Monatsabrechnung!N211*$D$4*(1+$D$6)</f>
        <v/>
      </c>
      <c r="AA76" s="40">
        <f>Monatsabrechnung!O211*$D$4*(1+$D$6)</f>
        <v/>
      </c>
      <c r="AB76" s="40">
        <f>Monatsabrechnung!P211*$D$4*(1+$D$6)</f>
        <v/>
      </c>
      <c r="AC76" s="28">
        <f>SUM(Q76:AB76)</f>
        <v/>
      </c>
      <c r="AD76" s="40">
        <f>Monatsabrechnung!E211*$D$5*(1+$D$6)</f>
        <v/>
      </c>
      <c r="AE76" s="40">
        <f>Monatsabrechnung!F211*$D$5*(1+$D$6)</f>
        <v/>
      </c>
      <c r="AF76" s="40">
        <f>Monatsabrechnung!G211*$D$5*(1+$D$6)</f>
        <v/>
      </c>
      <c r="AG76" s="40">
        <f>Monatsabrechnung!H211*$D$5*(1+$D$6)</f>
        <v/>
      </c>
      <c r="AH76" s="40">
        <f>Monatsabrechnung!I211*$D$5*(1+$D$6)</f>
        <v/>
      </c>
      <c r="AI76" s="40">
        <f>Monatsabrechnung!J211*$D$5*(1+$D$6)</f>
        <v/>
      </c>
      <c r="AJ76" s="40">
        <f>Monatsabrechnung!K211*$D$5*(1+$D$6)</f>
        <v/>
      </c>
      <c r="AK76" s="40">
        <f>Monatsabrechnung!L211*$D$5*(1+$D$6)</f>
        <v/>
      </c>
      <c r="AL76" s="40">
        <f>Monatsabrechnung!M211*$D$5*(1+$D$6)</f>
        <v/>
      </c>
      <c r="AM76" s="40">
        <f>Monatsabrechnung!N211*$D$5*(1+$D$6)</f>
        <v/>
      </c>
      <c r="AN76" s="40">
        <f>Monatsabrechnung!O211*$D$5*(1+$D$6)</f>
        <v/>
      </c>
      <c r="AO76" s="40">
        <f>Monatsabrechnung!P211*$D$5*(1+$D$6)</f>
        <v/>
      </c>
      <c r="AP76" s="28">
        <f>SUM(AD76:AO76)</f>
        <v/>
      </c>
      <c r="AQ76" s="59">
        <f>P76+AC76+AP76</f>
        <v/>
      </c>
    </row>
    <row r="77">
      <c r="A77" s="89">
        <f>Stammdaten!A77</f>
        <v/>
      </c>
      <c r="B77" s="67">
        <f>Stammdaten!B77</f>
        <v/>
      </c>
      <c r="C77" s="67">
        <f>Stammdaten!C77</f>
        <v/>
      </c>
      <c r="D77" s="40">
        <f>Monatsabrechnung!E214*$D$6</f>
        <v/>
      </c>
      <c r="E77" s="40">
        <f>Monatsabrechnung!F214*$D$6</f>
        <v/>
      </c>
      <c r="F77" s="40">
        <f>Monatsabrechnung!G214*$D$6</f>
        <v/>
      </c>
      <c r="G77" s="40">
        <f>Monatsabrechnung!H214*$D$6</f>
        <v/>
      </c>
      <c r="H77" s="40">
        <f>Monatsabrechnung!I214*$D$6</f>
        <v/>
      </c>
      <c r="I77" s="40">
        <f>Monatsabrechnung!J214*$D$6</f>
        <v/>
      </c>
      <c r="J77" s="40">
        <f>Monatsabrechnung!K214*$D$6</f>
        <v/>
      </c>
      <c r="K77" s="40">
        <f>Monatsabrechnung!L214*$D$6</f>
        <v/>
      </c>
      <c r="L77" s="40">
        <f>Monatsabrechnung!M214*$D$6</f>
        <v/>
      </c>
      <c r="M77" s="40">
        <f>Monatsabrechnung!N214*$D$6</f>
        <v/>
      </c>
      <c r="N77" s="40">
        <f>Monatsabrechnung!O214*$D$6</f>
        <v/>
      </c>
      <c r="O77" s="40">
        <f>Monatsabrechnung!P214*$D$6</f>
        <v/>
      </c>
      <c r="P77" s="28">
        <f>SUM(D77:O77)</f>
        <v/>
      </c>
      <c r="Q77" s="40">
        <f>Monatsabrechnung!E214*$D$4*(1+$D$6)</f>
        <v/>
      </c>
      <c r="R77" s="40">
        <f>Monatsabrechnung!F214*$D$4*(1+$D$6)</f>
        <v/>
      </c>
      <c r="S77" s="40">
        <f>Monatsabrechnung!G214*$D$4*(1+$D$6)</f>
        <v/>
      </c>
      <c r="T77" s="40">
        <f>Monatsabrechnung!H214*$D$4*(1+$D$6)</f>
        <v/>
      </c>
      <c r="U77" s="40">
        <f>Monatsabrechnung!I214*$D$4*(1+$D$6)</f>
        <v/>
      </c>
      <c r="V77" s="40">
        <f>Monatsabrechnung!J214*$D$4*(1+$D$6)</f>
        <v/>
      </c>
      <c r="W77" s="40">
        <f>Monatsabrechnung!K214*$D$4*(1+$D$6)</f>
        <v/>
      </c>
      <c r="X77" s="40">
        <f>Monatsabrechnung!L214*$D$4*(1+$D$6)</f>
        <v/>
      </c>
      <c r="Y77" s="40">
        <f>Monatsabrechnung!M214*$D$4*(1+$D$6)</f>
        <v/>
      </c>
      <c r="Z77" s="40">
        <f>Monatsabrechnung!N214*$D$4*(1+$D$6)</f>
        <v/>
      </c>
      <c r="AA77" s="40">
        <f>Monatsabrechnung!O214*$D$4*(1+$D$6)</f>
        <v/>
      </c>
      <c r="AB77" s="40">
        <f>Monatsabrechnung!P214*$D$4*(1+$D$6)</f>
        <v/>
      </c>
      <c r="AC77" s="28">
        <f>SUM(Q77:AB77)</f>
        <v/>
      </c>
      <c r="AD77" s="40">
        <f>Monatsabrechnung!E214*$D$5*(1+$D$6)</f>
        <v/>
      </c>
      <c r="AE77" s="40">
        <f>Monatsabrechnung!F214*$D$5*(1+$D$6)</f>
        <v/>
      </c>
      <c r="AF77" s="40">
        <f>Monatsabrechnung!G214*$D$5*(1+$D$6)</f>
        <v/>
      </c>
      <c r="AG77" s="40">
        <f>Monatsabrechnung!H214*$D$5*(1+$D$6)</f>
        <v/>
      </c>
      <c r="AH77" s="40">
        <f>Monatsabrechnung!I214*$D$5*(1+$D$6)</f>
        <v/>
      </c>
      <c r="AI77" s="40">
        <f>Monatsabrechnung!J214*$D$5*(1+$D$6)</f>
        <v/>
      </c>
      <c r="AJ77" s="40">
        <f>Monatsabrechnung!K214*$D$5*(1+$D$6)</f>
        <v/>
      </c>
      <c r="AK77" s="40">
        <f>Monatsabrechnung!L214*$D$5*(1+$D$6)</f>
        <v/>
      </c>
      <c r="AL77" s="40">
        <f>Monatsabrechnung!M214*$D$5*(1+$D$6)</f>
        <v/>
      </c>
      <c r="AM77" s="40">
        <f>Monatsabrechnung!N214*$D$5*(1+$D$6)</f>
        <v/>
      </c>
      <c r="AN77" s="40">
        <f>Monatsabrechnung!O214*$D$5*(1+$D$6)</f>
        <v/>
      </c>
      <c r="AO77" s="40">
        <f>Monatsabrechnung!P214*$D$5*(1+$D$6)</f>
        <v/>
      </c>
      <c r="AP77" s="28">
        <f>SUM(AD77:AO77)</f>
        <v/>
      </c>
      <c r="AQ77" s="59">
        <f>P77+AC77+AP77</f>
        <v/>
      </c>
    </row>
    <row r="78">
      <c r="A78" s="89">
        <f>Stammdaten!A78</f>
        <v/>
      </c>
      <c r="B78" s="67">
        <f>Stammdaten!B78</f>
        <v/>
      </c>
      <c r="C78" s="67">
        <f>Stammdaten!C78</f>
        <v/>
      </c>
      <c r="D78" s="40">
        <f>Monatsabrechnung!E217*$D$6</f>
        <v/>
      </c>
      <c r="E78" s="40">
        <f>Monatsabrechnung!F217*$D$6</f>
        <v/>
      </c>
      <c r="F78" s="40">
        <f>Monatsabrechnung!G217*$D$6</f>
        <v/>
      </c>
      <c r="G78" s="40">
        <f>Monatsabrechnung!H217*$D$6</f>
        <v/>
      </c>
      <c r="H78" s="40">
        <f>Monatsabrechnung!I217*$D$6</f>
        <v/>
      </c>
      <c r="I78" s="40">
        <f>Monatsabrechnung!J217*$D$6</f>
        <v/>
      </c>
      <c r="J78" s="40">
        <f>Monatsabrechnung!K217*$D$6</f>
        <v/>
      </c>
      <c r="K78" s="40">
        <f>Monatsabrechnung!L217*$D$6</f>
        <v/>
      </c>
      <c r="L78" s="40">
        <f>Monatsabrechnung!M217*$D$6</f>
        <v/>
      </c>
      <c r="M78" s="40">
        <f>Monatsabrechnung!N217*$D$6</f>
        <v/>
      </c>
      <c r="N78" s="40">
        <f>Monatsabrechnung!O217*$D$6</f>
        <v/>
      </c>
      <c r="O78" s="40">
        <f>Monatsabrechnung!P217*$D$6</f>
        <v/>
      </c>
      <c r="P78" s="28">
        <f>SUM(D78:O78)</f>
        <v/>
      </c>
      <c r="Q78" s="40">
        <f>Monatsabrechnung!E217*$D$4*(1+$D$6)</f>
        <v/>
      </c>
      <c r="R78" s="40">
        <f>Monatsabrechnung!F217*$D$4*(1+$D$6)</f>
        <v/>
      </c>
      <c r="S78" s="40">
        <f>Monatsabrechnung!G217*$D$4*(1+$D$6)</f>
        <v/>
      </c>
      <c r="T78" s="40">
        <f>Monatsabrechnung!H217*$D$4*(1+$D$6)</f>
        <v/>
      </c>
      <c r="U78" s="40">
        <f>Monatsabrechnung!I217*$D$4*(1+$D$6)</f>
        <v/>
      </c>
      <c r="V78" s="40">
        <f>Monatsabrechnung!J217*$D$4*(1+$D$6)</f>
        <v/>
      </c>
      <c r="W78" s="40">
        <f>Monatsabrechnung!K217*$D$4*(1+$D$6)</f>
        <v/>
      </c>
      <c r="X78" s="40">
        <f>Monatsabrechnung!L217*$D$4*(1+$D$6)</f>
        <v/>
      </c>
      <c r="Y78" s="40">
        <f>Monatsabrechnung!M217*$D$4*(1+$D$6)</f>
        <v/>
      </c>
      <c r="Z78" s="40">
        <f>Monatsabrechnung!N217*$D$4*(1+$D$6)</f>
        <v/>
      </c>
      <c r="AA78" s="40">
        <f>Monatsabrechnung!O217*$D$4*(1+$D$6)</f>
        <v/>
      </c>
      <c r="AB78" s="40">
        <f>Monatsabrechnung!P217*$D$4*(1+$D$6)</f>
        <v/>
      </c>
      <c r="AC78" s="28">
        <f>SUM(Q78:AB78)</f>
        <v/>
      </c>
      <c r="AD78" s="40">
        <f>Monatsabrechnung!E217*$D$5*(1+$D$6)</f>
        <v/>
      </c>
      <c r="AE78" s="40">
        <f>Monatsabrechnung!F217*$D$5*(1+$D$6)</f>
        <v/>
      </c>
      <c r="AF78" s="40">
        <f>Monatsabrechnung!G217*$D$5*(1+$D$6)</f>
        <v/>
      </c>
      <c r="AG78" s="40">
        <f>Monatsabrechnung!H217*$D$5*(1+$D$6)</f>
        <v/>
      </c>
      <c r="AH78" s="40">
        <f>Monatsabrechnung!I217*$D$5*(1+$D$6)</f>
        <v/>
      </c>
      <c r="AI78" s="40">
        <f>Monatsabrechnung!J217*$D$5*(1+$D$6)</f>
        <v/>
      </c>
      <c r="AJ78" s="40">
        <f>Monatsabrechnung!K217*$D$5*(1+$D$6)</f>
        <v/>
      </c>
      <c r="AK78" s="40">
        <f>Monatsabrechnung!L217*$D$5*(1+$D$6)</f>
        <v/>
      </c>
      <c r="AL78" s="40">
        <f>Monatsabrechnung!M217*$D$5*(1+$D$6)</f>
        <v/>
      </c>
      <c r="AM78" s="40">
        <f>Monatsabrechnung!N217*$D$5*(1+$D$6)</f>
        <v/>
      </c>
      <c r="AN78" s="40">
        <f>Monatsabrechnung!O217*$D$5*(1+$D$6)</f>
        <v/>
      </c>
      <c r="AO78" s="40">
        <f>Monatsabrechnung!P217*$D$5*(1+$D$6)</f>
        <v/>
      </c>
      <c r="AP78" s="28">
        <f>SUM(AD78:AO78)</f>
        <v/>
      </c>
      <c r="AQ78" s="59">
        <f>P78+AC78+AP78</f>
        <v/>
      </c>
    </row>
    <row r="79">
      <c r="A79" s="91">
        <f>Stammdaten!A79</f>
        <v/>
      </c>
      <c r="B79" s="73">
        <f>Stammdaten!B79</f>
        <v/>
      </c>
      <c r="C79" s="73">
        <f>Stammdaten!C79</f>
        <v/>
      </c>
      <c r="D79" s="40">
        <f>Monatsabrechnung!E220*$D$6</f>
        <v/>
      </c>
      <c r="E79" s="40">
        <f>Monatsabrechnung!F220*$D$6</f>
        <v/>
      </c>
      <c r="F79" s="40">
        <f>Monatsabrechnung!G220*$D$6</f>
        <v/>
      </c>
      <c r="G79" s="40">
        <f>Monatsabrechnung!H220*$D$6</f>
        <v/>
      </c>
      <c r="H79" s="40">
        <f>Monatsabrechnung!I220*$D$6</f>
        <v/>
      </c>
      <c r="I79" s="40">
        <f>Monatsabrechnung!J220*$D$6</f>
        <v/>
      </c>
      <c r="J79" s="40">
        <f>Monatsabrechnung!K220*$D$6</f>
        <v/>
      </c>
      <c r="K79" s="40">
        <f>Monatsabrechnung!L220*$D$6</f>
        <v/>
      </c>
      <c r="L79" s="40">
        <f>Monatsabrechnung!M220*$D$6</f>
        <v/>
      </c>
      <c r="M79" s="40">
        <f>Monatsabrechnung!N220*$D$6</f>
        <v/>
      </c>
      <c r="N79" s="40">
        <f>Monatsabrechnung!O220*$D$6</f>
        <v/>
      </c>
      <c r="O79" s="40">
        <f>Monatsabrechnung!P220*$D$6</f>
        <v/>
      </c>
      <c r="P79" s="28">
        <f>SUM(D79:O79)</f>
        <v/>
      </c>
      <c r="Q79" s="40">
        <f>Monatsabrechnung!E220*$D$4*(1+$D$6)</f>
        <v/>
      </c>
      <c r="R79" s="40">
        <f>Monatsabrechnung!F220*$D$4*(1+$D$6)</f>
        <v/>
      </c>
      <c r="S79" s="40">
        <f>Monatsabrechnung!G220*$D$4*(1+$D$6)</f>
        <v/>
      </c>
      <c r="T79" s="40">
        <f>Monatsabrechnung!H220*$D$4*(1+$D$6)</f>
        <v/>
      </c>
      <c r="U79" s="40">
        <f>Monatsabrechnung!I220*$D$4*(1+$D$6)</f>
        <v/>
      </c>
      <c r="V79" s="40">
        <f>Monatsabrechnung!J220*$D$4*(1+$D$6)</f>
        <v/>
      </c>
      <c r="W79" s="40">
        <f>Monatsabrechnung!K220*$D$4*(1+$D$6)</f>
        <v/>
      </c>
      <c r="X79" s="40">
        <f>Monatsabrechnung!L220*$D$4*(1+$D$6)</f>
        <v/>
      </c>
      <c r="Y79" s="40">
        <f>Monatsabrechnung!M220*$D$4*(1+$D$6)</f>
        <v/>
      </c>
      <c r="Z79" s="40">
        <f>Monatsabrechnung!N220*$D$4*(1+$D$6)</f>
        <v/>
      </c>
      <c r="AA79" s="40">
        <f>Monatsabrechnung!O220*$D$4*(1+$D$6)</f>
        <v/>
      </c>
      <c r="AB79" s="40">
        <f>Monatsabrechnung!P220*$D$4*(1+$D$6)</f>
        <v/>
      </c>
      <c r="AC79" s="28">
        <f>SUM(Q79:AB79)</f>
        <v/>
      </c>
      <c r="AD79" s="40">
        <f>Monatsabrechnung!E220*$D$5*(1+$D$6)</f>
        <v/>
      </c>
      <c r="AE79" s="40">
        <f>Monatsabrechnung!F220*$D$5*(1+$D$6)</f>
        <v/>
      </c>
      <c r="AF79" s="40">
        <f>Monatsabrechnung!G220*$D$5*(1+$D$6)</f>
        <v/>
      </c>
      <c r="AG79" s="40">
        <f>Monatsabrechnung!H220*$D$5*(1+$D$6)</f>
        <v/>
      </c>
      <c r="AH79" s="40">
        <f>Monatsabrechnung!I220*$D$5*(1+$D$6)</f>
        <v/>
      </c>
      <c r="AI79" s="40">
        <f>Monatsabrechnung!J220*$D$5*(1+$D$6)</f>
        <v/>
      </c>
      <c r="AJ79" s="40">
        <f>Monatsabrechnung!K220*$D$5*(1+$D$6)</f>
        <v/>
      </c>
      <c r="AK79" s="40">
        <f>Monatsabrechnung!L220*$D$5*(1+$D$6)</f>
        <v/>
      </c>
      <c r="AL79" s="40">
        <f>Monatsabrechnung!M220*$D$5*(1+$D$6)</f>
        <v/>
      </c>
      <c r="AM79" s="40">
        <f>Monatsabrechnung!N220*$D$5*(1+$D$6)</f>
        <v/>
      </c>
      <c r="AN79" s="40">
        <f>Monatsabrechnung!O220*$D$5*(1+$D$6)</f>
        <v/>
      </c>
      <c r="AO79" s="40">
        <f>Monatsabrechnung!P220*$D$5*(1+$D$6)</f>
        <v/>
      </c>
      <c r="AP79" s="28">
        <f>SUM(AD79:AO79)</f>
        <v/>
      </c>
      <c r="AQ79" s="59">
        <f>P79+AC79+AP79</f>
        <v/>
      </c>
    </row>
    <row r="80">
      <c r="A80" s="91">
        <f>Stammdaten!A80</f>
        <v/>
      </c>
      <c r="B80" s="73">
        <f>Stammdaten!B80</f>
        <v/>
      </c>
      <c r="C80" s="73">
        <f>Stammdaten!C80</f>
        <v/>
      </c>
      <c r="D80" s="40">
        <f>Monatsabrechnung!E223*$D$6</f>
        <v/>
      </c>
      <c r="E80" s="40">
        <f>Monatsabrechnung!F223*$D$6</f>
        <v/>
      </c>
      <c r="F80" s="40">
        <f>Monatsabrechnung!G223*$D$6</f>
        <v/>
      </c>
      <c r="G80" s="40">
        <f>Monatsabrechnung!H223*$D$6</f>
        <v/>
      </c>
      <c r="H80" s="40">
        <f>Monatsabrechnung!I223*$D$6</f>
        <v/>
      </c>
      <c r="I80" s="40">
        <f>Monatsabrechnung!J223*$D$6</f>
        <v/>
      </c>
      <c r="J80" s="40">
        <f>Monatsabrechnung!K223*$D$6</f>
        <v/>
      </c>
      <c r="K80" s="40">
        <f>Monatsabrechnung!L223*$D$6</f>
        <v/>
      </c>
      <c r="L80" s="40">
        <f>Monatsabrechnung!M223*$D$6</f>
        <v/>
      </c>
      <c r="M80" s="40">
        <f>Monatsabrechnung!N223*$D$6</f>
        <v/>
      </c>
      <c r="N80" s="40">
        <f>Monatsabrechnung!O223*$D$6</f>
        <v/>
      </c>
      <c r="O80" s="40">
        <f>Monatsabrechnung!P223*$D$6</f>
        <v/>
      </c>
      <c r="P80" s="28">
        <f>SUM(D80:O80)</f>
        <v/>
      </c>
      <c r="Q80" s="40">
        <f>Monatsabrechnung!E223*$D$4*(1+$D$6)</f>
        <v/>
      </c>
      <c r="R80" s="40">
        <f>Monatsabrechnung!F223*$D$4*(1+$D$6)</f>
        <v/>
      </c>
      <c r="S80" s="40">
        <f>Monatsabrechnung!G223*$D$4*(1+$D$6)</f>
        <v/>
      </c>
      <c r="T80" s="40">
        <f>Monatsabrechnung!H223*$D$4*(1+$D$6)</f>
        <v/>
      </c>
      <c r="U80" s="40">
        <f>Monatsabrechnung!I223*$D$4*(1+$D$6)</f>
        <v/>
      </c>
      <c r="V80" s="40">
        <f>Monatsabrechnung!J223*$D$4*(1+$D$6)</f>
        <v/>
      </c>
      <c r="W80" s="40">
        <f>Monatsabrechnung!K223*$D$4*(1+$D$6)</f>
        <v/>
      </c>
      <c r="X80" s="40">
        <f>Monatsabrechnung!L223*$D$4*(1+$D$6)</f>
        <v/>
      </c>
      <c r="Y80" s="40">
        <f>Monatsabrechnung!M223*$D$4*(1+$D$6)</f>
        <v/>
      </c>
      <c r="Z80" s="40">
        <f>Monatsabrechnung!N223*$D$4*(1+$D$6)</f>
        <v/>
      </c>
      <c r="AA80" s="40">
        <f>Monatsabrechnung!O223*$D$4*(1+$D$6)</f>
        <v/>
      </c>
      <c r="AB80" s="40">
        <f>Monatsabrechnung!P223*$D$4*(1+$D$6)</f>
        <v/>
      </c>
      <c r="AC80" s="28">
        <f>SUM(Q80:AB80)</f>
        <v/>
      </c>
      <c r="AD80" s="40">
        <f>Monatsabrechnung!E223*$D$5*(1+$D$6)</f>
        <v/>
      </c>
      <c r="AE80" s="40">
        <f>Monatsabrechnung!F223*$D$5*(1+$D$6)</f>
        <v/>
      </c>
      <c r="AF80" s="40">
        <f>Monatsabrechnung!G223*$D$5*(1+$D$6)</f>
        <v/>
      </c>
      <c r="AG80" s="40">
        <f>Monatsabrechnung!H223*$D$5*(1+$D$6)</f>
        <v/>
      </c>
      <c r="AH80" s="40">
        <f>Monatsabrechnung!I223*$D$5*(1+$D$6)</f>
        <v/>
      </c>
      <c r="AI80" s="40">
        <f>Monatsabrechnung!J223*$D$5*(1+$D$6)</f>
        <v/>
      </c>
      <c r="AJ80" s="40">
        <f>Monatsabrechnung!K223*$D$5*(1+$D$6)</f>
        <v/>
      </c>
      <c r="AK80" s="40">
        <f>Monatsabrechnung!L223*$D$5*(1+$D$6)</f>
        <v/>
      </c>
      <c r="AL80" s="40">
        <f>Monatsabrechnung!M223*$D$5*(1+$D$6)</f>
        <v/>
      </c>
      <c r="AM80" s="40">
        <f>Monatsabrechnung!N223*$D$5*(1+$D$6)</f>
        <v/>
      </c>
      <c r="AN80" s="40">
        <f>Monatsabrechnung!O223*$D$5*(1+$D$6)</f>
        <v/>
      </c>
      <c r="AO80" s="40">
        <f>Monatsabrechnung!P223*$D$5*(1+$D$6)</f>
        <v/>
      </c>
      <c r="AP80" s="28">
        <f>SUM(AD80:AO80)</f>
        <v/>
      </c>
      <c r="AQ80" s="59">
        <f>P80+AC80+AP80</f>
        <v/>
      </c>
    </row>
    <row r="81">
      <c r="A81" s="91">
        <f>Stammdaten!A81</f>
        <v/>
      </c>
      <c r="B81" s="73">
        <f>Stammdaten!B81</f>
        <v/>
      </c>
      <c r="C81" s="73">
        <f>Stammdaten!C81</f>
        <v/>
      </c>
      <c r="D81" s="40">
        <f>Monatsabrechnung!E226*$D$6</f>
        <v/>
      </c>
      <c r="E81" s="40">
        <f>Monatsabrechnung!F226*$D$6</f>
        <v/>
      </c>
      <c r="F81" s="40">
        <f>Monatsabrechnung!G226*$D$6</f>
        <v/>
      </c>
      <c r="G81" s="40">
        <f>Monatsabrechnung!H226*$D$6</f>
        <v/>
      </c>
      <c r="H81" s="40">
        <f>Monatsabrechnung!I226*$D$6</f>
        <v/>
      </c>
      <c r="I81" s="40">
        <f>Monatsabrechnung!J226*$D$6</f>
        <v/>
      </c>
      <c r="J81" s="40">
        <f>Monatsabrechnung!K226*$D$6</f>
        <v/>
      </c>
      <c r="K81" s="40">
        <f>Monatsabrechnung!L226*$D$6</f>
        <v/>
      </c>
      <c r="L81" s="40">
        <f>Monatsabrechnung!M226*$D$6</f>
        <v/>
      </c>
      <c r="M81" s="40">
        <f>Monatsabrechnung!N226*$D$6</f>
        <v/>
      </c>
      <c r="N81" s="40">
        <f>Monatsabrechnung!O226*$D$6</f>
        <v/>
      </c>
      <c r="O81" s="40">
        <f>Monatsabrechnung!P226*$D$6</f>
        <v/>
      </c>
      <c r="P81" s="28">
        <f>SUM(D81:O81)</f>
        <v/>
      </c>
      <c r="Q81" s="40">
        <f>Monatsabrechnung!E226*$D$4*(1+$D$6)</f>
        <v/>
      </c>
      <c r="R81" s="40">
        <f>Monatsabrechnung!F226*$D$4*(1+$D$6)</f>
        <v/>
      </c>
      <c r="S81" s="40">
        <f>Monatsabrechnung!G226*$D$4*(1+$D$6)</f>
        <v/>
      </c>
      <c r="T81" s="40">
        <f>Monatsabrechnung!H226*$D$4*(1+$D$6)</f>
        <v/>
      </c>
      <c r="U81" s="40">
        <f>Monatsabrechnung!I226*$D$4*(1+$D$6)</f>
        <v/>
      </c>
      <c r="V81" s="40">
        <f>Monatsabrechnung!J226*$D$4*(1+$D$6)</f>
        <v/>
      </c>
      <c r="W81" s="40">
        <f>Monatsabrechnung!K226*$D$4*(1+$D$6)</f>
        <v/>
      </c>
      <c r="X81" s="40">
        <f>Monatsabrechnung!L226*$D$4*(1+$D$6)</f>
        <v/>
      </c>
      <c r="Y81" s="40">
        <f>Monatsabrechnung!M226*$D$4*(1+$D$6)</f>
        <v/>
      </c>
      <c r="Z81" s="40">
        <f>Monatsabrechnung!N226*$D$4*(1+$D$6)</f>
        <v/>
      </c>
      <c r="AA81" s="40">
        <f>Monatsabrechnung!O226*$D$4*(1+$D$6)</f>
        <v/>
      </c>
      <c r="AB81" s="40">
        <f>Monatsabrechnung!P226*$D$4*(1+$D$6)</f>
        <v/>
      </c>
      <c r="AC81" s="28">
        <f>SUM(Q81:AB81)</f>
        <v/>
      </c>
      <c r="AD81" s="40">
        <f>Monatsabrechnung!E226*$D$5*(1+$D$6)</f>
        <v/>
      </c>
      <c r="AE81" s="40">
        <f>Monatsabrechnung!F226*$D$5*(1+$D$6)</f>
        <v/>
      </c>
      <c r="AF81" s="40">
        <f>Monatsabrechnung!G226*$D$5*(1+$D$6)</f>
        <v/>
      </c>
      <c r="AG81" s="40">
        <f>Monatsabrechnung!H226*$D$5*(1+$D$6)</f>
        <v/>
      </c>
      <c r="AH81" s="40">
        <f>Monatsabrechnung!I226*$D$5*(1+$D$6)</f>
        <v/>
      </c>
      <c r="AI81" s="40">
        <f>Monatsabrechnung!J226*$D$5*(1+$D$6)</f>
        <v/>
      </c>
      <c r="AJ81" s="40">
        <f>Monatsabrechnung!K226*$D$5*(1+$D$6)</f>
        <v/>
      </c>
      <c r="AK81" s="40">
        <f>Monatsabrechnung!L226*$D$5*(1+$D$6)</f>
        <v/>
      </c>
      <c r="AL81" s="40">
        <f>Monatsabrechnung!M226*$D$5*(1+$D$6)</f>
        <v/>
      </c>
      <c r="AM81" s="40">
        <f>Monatsabrechnung!N226*$D$5*(1+$D$6)</f>
        <v/>
      </c>
      <c r="AN81" s="40">
        <f>Monatsabrechnung!O226*$D$5*(1+$D$6)</f>
        <v/>
      </c>
      <c r="AO81" s="40">
        <f>Monatsabrechnung!P226*$D$5*(1+$D$6)</f>
        <v/>
      </c>
      <c r="AP81" s="28">
        <f>SUM(AD81:AO81)</f>
        <v/>
      </c>
      <c r="AQ81" s="59">
        <f>P81+AC81+AP81</f>
        <v/>
      </c>
    </row>
    <row r="82">
      <c r="A82" s="91">
        <f>Stammdaten!A82</f>
        <v/>
      </c>
      <c r="B82" s="73">
        <f>Stammdaten!B82</f>
        <v/>
      </c>
      <c r="C82" s="73">
        <f>Stammdaten!C82</f>
        <v/>
      </c>
      <c r="D82" s="40">
        <f>Monatsabrechnung!E229*$D$6</f>
        <v/>
      </c>
      <c r="E82" s="40">
        <f>Monatsabrechnung!F229*$D$6</f>
        <v/>
      </c>
      <c r="F82" s="40">
        <f>Monatsabrechnung!G229*$D$6</f>
        <v/>
      </c>
      <c r="G82" s="40">
        <f>Monatsabrechnung!H229*$D$6</f>
        <v/>
      </c>
      <c r="H82" s="40">
        <f>Monatsabrechnung!I229*$D$6</f>
        <v/>
      </c>
      <c r="I82" s="40">
        <f>Monatsabrechnung!J229*$D$6</f>
        <v/>
      </c>
      <c r="J82" s="40">
        <f>Monatsabrechnung!K229*$D$6</f>
        <v/>
      </c>
      <c r="K82" s="40">
        <f>Monatsabrechnung!L229*$D$6</f>
        <v/>
      </c>
      <c r="L82" s="40">
        <f>Monatsabrechnung!M229*$D$6</f>
        <v/>
      </c>
      <c r="M82" s="40">
        <f>Monatsabrechnung!N229*$D$6</f>
        <v/>
      </c>
      <c r="N82" s="40">
        <f>Monatsabrechnung!O229*$D$6</f>
        <v/>
      </c>
      <c r="O82" s="40">
        <f>Monatsabrechnung!P229*$D$6</f>
        <v/>
      </c>
      <c r="P82" s="28">
        <f>SUM(D82:O82)</f>
        <v/>
      </c>
      <c r="Q82" s="40">
        <f>Monatsabrechnung!E229*$D$4*(1+$D$6)</f>
        <v/>
      </c>
      <c r="R82" s="40">
        <f>Monatsabrechnung!F229*$D$4*(1+$D$6)</f>
        <v/>
      </c>
      <c r="S82" s="40">
        <f>Monatsabrechnung!G229*$D$4*(1+$D$6)</f>
        <v/>
      </c>
      <c r="T82" s="40">
        <f>Monatsabrechnung!H229*$D$4*(1+$D$6)</f>
        <v/>
      </c>
      <c r="U82" s="40">
        <f>Monatsabrechnung!I229*$D$4*(1+$D$6)</f>
        <v/>
      </c>
      <c r="V82" s="40">
        <f>Monatsabrechnung!J229*$D$4*(1+$D$6)</f>
        <v/>
      </c>
      <c r="W82" s="40">
        <f>Monatsabrechnung!K229*$D$4*(1+$D$6)</f>
        <v/>
      </c>
      <c r="X82" s="40">
        <f>Monatsabrechnung!L229*$D$4*(1+$D$6)</f>
        <v/>
      </c>
      <c r="Y82" s="40">
        <f>Monatsabrechnung!M229*$D$4*(1+$D$6)</f>
        <v/>
      </c>
      <c r="Z82" s="40">
        <f>Monatsabrechnung!N229*$D$4*(1+$D$6)</f>
        <v/>
      </c>
      <c r="AA82" s="40">
        <f>Monatsabrechnung!O229*$D$4*(1+$D$6)</f>
        <v/>
      </c>
      <c r="AB82" s="40">
        <f>Monatsabrechnung!P229*$D$4*(1+$D$6)</f>
        <v/>
      </c>
      <c r="AC82" s="28">
        <f>SUM(Q82:AB82)</f>
        <v/>
      </c>
      <c r="AD82" s="40">
        <f>Monatsabrechnung!E229*$D$5*(1+$D$6)</f>
        <v/>
      </c>
      <c r="AE82" s="40">
        <f>Monatsabrechnung!F229*$D$5*(1+$D$6)</f>
        <v/>
      </c>
      <c r="AF82" s="40">
        <f>Monatsabrechnung!G229*$D$5*(1+$D$6)</f>
        <v/>
      </c>
      <c r="AG82" s="40">
        <f>Monatsabrechnung!H229*$D$5*(1+$D$6)</f>
        <v/>
      </c>
      <c r="AH82" s="40">
        <f>Monatsabrechnung!I229*$D$5*(1+$D$6)</f>
        <v/>
      </c>
      <c r="AI82" s="40">
        <f>Monatsabrechnung!J229*$D$5*(1+$D$6)</f>
        <v/>
      </c>
      <c r="AJ82" s="40">
        <f>Monatsabrechnung!K229*$D$5*(1+$D$6)</f>
        <v/>
      </c>
      <c r="AK82" s="40">
        <f>Monatsabrechnung!L229*$D$5*(1+$D$6)</f>
        <v/>
      </c>
      <c r="AL82" s="40">
        <f>Monatsabrechnung!M229*$D$5*(1+$D$6)</f>
        <v/>
      </c>
      <c r="AM82" s="40">
        <f>Monatsabrechnung!N229*$D$5*(1+$D$6)</f>
        <v/>
      </c>
      <c r="AN82" s="40">
        <f>Monatsabrechnung!O229*$D$5*(1+$D$6)</f>
        <v/>
      </c>
      <c r="AO82" s="40">
        <f>Monatsabrechnung!P229*$D$5*(1+$D$6)</f>
        <v/>
      </c>
      <c r="AP82" s="28">
        <f>SUM(AD82:AO82)</f>
        <v/>
      </c>
      <c r="AQ82" s="59">
        <f>P82+AC82+AP82</f>
        <v/>
      </c>
    </row>
    <row r="83">
      <c r="A83" s="91">
        <f>Stammdaten!A83</f>
        <v/>
      </c>
      <c r="B83" s="73">
        <f>Stammdaten!B83</f>
        <v/>
      </c>
      <c r="C83" s="73">
        <f>Stammdaten!C83</f>
        <v/>
      </c>
      <c r="D83" s="40">
        <f>Monatsabrechnung!E232*$D$6</f>
        <v/>
      </c>
      <c r="E83" s="40">
        <f>Monatsabrechnung!F232*$D$6</f>
        <v/>
      </c>
      <c r="F83" s="40">
        <f>Monatsabrechnung!G232*$D$6</f>
        <v/>
      </c>
      <c r="G83" s="40">
        <f>Monatsabrechnung!H232*$D$6</f>
        <v/>
      </c>
      <c r="H83" s="40">
        <f>Monatsabrechnung!I232*$D$6</f>
        <v/>
      </c>
      <c r="I83" s="40">
        <f>Monatsabrechnung!J232*$D$6</f>
        <v/>
      </c>
      <c r="J83" s="40">
        <f>Monatsabrechnung!K232*$D$6</f>
        <v/>
      </c>
      <c r="K83" s="40">
        <f>Monatsabrechnung!L232*$D$6</f>
        <v/>
      </c>
      <c r="L83" s="40">
        <f>Monatsabrechnung!M232*$D$6</f>
        <v/>
      </c>
      <c r="M83" s="40">
        <f>Monatsabrechnung!N232*$D$6</f>
        <v/>
      </c>
      <c r="N83" s="40">
        <f>Monatsabrechnung!O232*$D$6</f>
        <v/>
      </c>
      <c r="O83" s="40">
        <f>Monatsabrechnung!P232*$D$6</f>
        <v/>
      </c>
      <c r="P83" s="28">
        <f>SUM(D83:O83)</f>
        <v/>
      </c>
      <c r="Q83" s="40">
        <f>Monatsabrechnung!E232*$D$4*(1+$D$6)</f>
        <v/>
      </c>
      <c r="R83" s="40">
        <f>Monatsabrechnung!F232*$D$4*(1+$D$6)</f>
        <v/>
      </c>
      <c r="S83" s="40">
        <f>Monatsabrechnung!G232*$D$4*(1+$D$6)</f>
        <v/>
      </c>
      <c r="T83" s="40">
        <f>Monatsabrechnung!H232*$D$4*(1+$D$6)</f>
        <v/>
      </c>
      <c r="U83" s="40">
        <f>Monatsabrechnung!I232*$D$4*(1+$D$6)</f>
        <v/>
      </c>
      <c r="V83" s="40">
        <f>Monatsabrechnung!J232*$D$4*(1+$D$6)</f>
        <v/>
      </c>
      <c r="W83" s="40">
        <f>Monatsabrechnung!K232*$D$4*(1+$D$6)</f>
        <v/>
      </c>
      <c r="X83" s="40">
        <f>Monatsabrechnung!L232*$D$4*(1+$D$6)</f>
        <v/>
      </c>
      <c r="Y83" s="40">
        <f>Monatsabrechnung!M232*$D$4*(1+$D$6)</f>
        <v/>
      </c>
      <c r="Z83" s="40">
        <f>Monatsabrechnung!N232*$D$4*(1+$D$6)</f>
        <v/>
      </c>
      <c r="AA83" s="40">
        <f>Monatsabrechnung!O232*$D$4*(1+$D$6)</f>
        <v/>
      </c>
      <c r="AB83" s="40">
        <f>Monatsabrechnung!P232*$D$4*(1+$D$6)</f>
        <v/>
      </c>
      <c r="AC83" s="28">
        <f>SUM(Q83:AB83)</f>
        <v/>
      </c>
      <c r="AD83" s="40">
        <f>Monatsabrechnung!E232*$D$5*(1+$D$6)</f>
        <v/>
      </c>
      <c r="AE83" s="40">
        <f>Monatsabrechnung!F232*$D$5*(1+$D$6)</f>
        <v/>
      </c>
      <c r="AF83" s="40">
        <f>Monatsabrechnung!G232*$D$5*(1+$D$6)</f>
        <v/>
      </c>
      <c r="AG83" s="40">
        <f>Monatsabrechnung!H232*$D$5*(1+$D$6)</f>
        <v/>
      </c>
      <c r="AH83" s="40">
        <f>Monatsabrechnung!I232*$D$5*(1+$D$6)</f>
        <v/>
      </c>
      <c r="AI83" s="40">
        <f>Monatsabrechnung!J232*$D$5*(1+$D$6)</f>
        <v/>
      </c>
      <c r="AJ83" s="40">
        <f>Monatsabrechnung!K232*$D$5*(1+$D$6)</f>
        <v/>
      </c>
      <c r="AK83" s="40">
        <f>Monatsabrechnung!L232*$D$5*(1+$D$6)</f>
        <v/>
      </c>
      <c r="AL83" s="40">
        <f>Monatsabrechnung!M232*$D$5*(1+$D$6)</f>
        <v/>
      </c>
      <c r="AM83" s="40">
        <f>Monatsabrechnung!N232*$D$5*(1+$D$6)</f>
        <v/>
      </c>
      <c r="AN83" s="40">
        <f>Monatsabrechnung!O232*$D$5*(1+$D$6)</f>
        <v/>
      </c>
      <c r="AO83" s="40">
        <f>Monatsabrechnung!P232*$D$5*(1+$D$6)</f>
        <v/>
      </c>
      <c r="AP83" s="28">
        <f>SUM(AD83:AO83)</f>
        <v/>
      </c>
      <c r="AQ83" s="59">
        <f>P83+AC83+AP83</f>
        <v/>
      </c>
    </row>
    <row r="84">
      <c r="A84" s="91">
        <f>Stammdaten!A84</f>
        <v/>
      </c>
      <c r="B84" s="73">
        <f>Stammdaten!B84</f>
        <v/>
      </c>
      <c r="C84" s="73">
        <f>Stammdaten!C84</f>
        <v/>
      </c>
      <c r="D84" s="40">
        <f>Monatsabrechnung!E235*$D$6</f>
        <v/>
      </c>
      <c r="E84" s="40">
        <f>Monatsabrechnung!F235*$D$6</f>
        <v/>
      </c>
      <c r="F84" s="40">
        <f>Monatsabrechnung!G235*$D$6</f>
        <v/>
      </c>
      <c r="G84" s="40">
        <f>Monatsabrechnung!H235*$D$6</f>
        <v/>
      </c>
      <c r="H84" s="40">
        <f>Monatsabrechnung!I235*$D$6</f>
        <v/>
      </c>
      <c r="I84" s="40">
        <f>Monatsabrechnung!J235*$D$6</f>
        <v/>
      </c>
      <c r="J84" s="40">
        <f>Monatsabrechnung!K235*$D$6</f>
        <v/>
      </c>
      <c r="K84" s="40">
        <f>Monatsabrechnung!L235*$D$6</f>
        <v/>
      </c>
      <c r="L84" s="40">
        <f>Monatsabrechnung!M235*$D$6</f>
        <v/>
      </c>
      <c r="M84" s="40">
        <f>Monatsabrechnung!N235*$D$6</f>
        <v/>
      </c>
      <c r="N84" s="40">
        <f>Monatsabrechnung!O235*$D$6</f>
        <v/>
      </c>
      <c r="O84" s="40">
        <f>Monatsabrechnung!P235*$D$6</f>
        <v/>
      </c>
      <c r="P84" s="28">
        <f>SUM(D84:O84)</f>
        <v/>
      </c>
      <c r="Q84" s="40">
        <f>Monatsabrechnung!E235*$D$4*(1+$D$6)</f>
        <v/>
      </c>
      <c r="R84" s="40">
        <f>Monatsabrechnung!F235*$D$4*(1+$D$6)</f>
        <v/>
      </c>
      <c r="S84" s="40">
        <f>Monatsabrechnung!G235*$D$4*(1+$D$6)</f>
        <v/>
      </c>
      <c r="T84" s="40">
        <f>Monatsabrechnung!H235*$D$4*(1+$D$6)</f>
        <v/>
      </c>
      <c r="U84" s="40">
        <f>Monatsabrechnung!I235*$D$4*(1+$D$6)</f>
        <v/>
      </c>
      <c r="V84" s="40">
        <f>Monatsabrechnung!J235*$D$4*(1+$D$6)</f>
        <v/>
      </c>
      <c r="W84" s="40">
        <f>Monatsabrechnung!K235*$D$4*(1+$D$6)</f>
        <v/>
      </c>
      <c r="X84" s="40">
        <f>Monatsabrechnung!L235*$D$4*(1+$D$6)</f>
        <v/>
      </c>
      <c r="Y84" s="40">
        <f>Monatsabrechnung!M235*$D$4*(1+$D$6)</f>
        <v/>
      </c>
      <c r="Z84" s="40">
        <f>Monatsabrechnung!N235*$D$4*(1+$D$6)</f>
        <v/>
      </c>
      <c r="AA84" s="40">
        <f>Monatsabrechnung!O235*$D$4*(1+$D$6)</f>
        <v/>
      </c>
      <c r="AB84" s="40">
        <f>Monatsabrechnung!P235*$D$4*(1+$D$6)</f>
        <v/>
      </c>
      <c r="AC84" s="28">
        <f>SUM(Q84:AB84)</f>
        <v/>
      </c>
      <c r="AD84" s="40">
        <f>Monatsabrechnung!E235*$D$5*(1+$D$6)</f>
        <v/>
      </c>
      <c r="AE84" s="40">
        <f>Monatsabrechnung!F235*$D$5*(1+$D$6)</f>
        <v/>
      </c>
      <c r="AF84" s="40">
        <f>Monatsabrechnung!G235*$D$5*(1+$D$6)</f>
        <v/>
      </c>
      <c r="AG84" s="40">
        <f>Monatsabrechnung!H235*$D$5*(1+$D$6)</f>
        <v/>
      </c>
      <c r="AH84" s="40">
        <f>Monatsabrechnung!I235*$D$5*(1+$D$6)</f>
        <v/>
      </c>
      <c r="AI84" s="40">
        <f>Monatsabrechnung!J235*$D$5*(1+$D$6)</f>
        <v/>
      </c>
      <c r="AJ84" s="40">
        <f>Monatsabrechnung!K235*$D$5*(1+$D$6)</f>
        <v/>
      </c>
      <c r="AK84" s="40">
        <f>Monatsabrechnung!L235*$D$5*(1+$D$6)</f>
        <v/>
      </c>
      <c r="AL84" s="40">
        <f>Monatsabrechnung!M235*$D$5*(1+$D$6)</f>
        <v/>
      </c>
      <c r="AM84" s="40">
        <f>Monatsabrechnung!N235*$D$5*(1+$D$6)</f>
        <v/>
      </c>
      <c r="AN84" s="40">
        <f>Monatsabrechnung!O235*$D$5*(1+$D$6)</f>
        <v/>
      </c>
      <c r="AO84" s="40">
        <f>Monatsabrechnung!P235*$D$5*(1+$D$6)</f>
        <v/>
      </c>
      <c r="AP84" s="28">
        <f>SUM(AD84:AO84)</f>
        <v/>
      </c>
      <c r="AQ84" s="59">
        <f>P84+AC84+AP84</f>
        <v/>
      </c>
    </row>
    <row r="85">
      <c r="A85" s="91">
        <f>Stammdaten!A85</f>
        <v/>
      </c>
      <c r="B85" s="73">
        <f>Stammdaten!B85</f>
        <v/>
      </c>
      <c r="C85" s="73">
        <f>Stammdaten!C85</f>
        <v/>
      </c>
      <c r="D85" s="40">
        <f>Monatsabrechnung!E238*$D$6</f>
        <v/>
      </c>
      <c r="E85" s="40">
        <f>Monatsabrechnung!F238*$D$6</f>
        <v/>
      </c>
      <c r="F85" s="40">
        <f>Monatsabrechnung!G238*$D$6</f>
        <v/>
      </c>
      <c r="G85" s="40">
        <f>Monatsabrechnung!H238*$D$6</f>
        <v/>
      </c>
      <c r="H85" s="40">
        <f>Monatsabrechnung!I238*$D$6</f>
        <v/>
      </c>
      <c r="I85" s="40">
        <f>Monatsabrechnung!J238*$D$6</f>
        <v/>
      </c>
      <c r="J85" s="40">
        <f>Monatsabrechnung!K238*$D$6</f>
        <v/>
      </c>
      <c r="K85" s="40">
        <f>Monatsabrechnung!L238*$D$6</f>
        <v/>
      </c>
      <c r="L85" s="40">
        <f>Monatsabrechnung!M238*$D$6</f>
        <v/>
      </c>
      <c r="M85" s="40">
        <f>Monatsabrechnung!N238*$D$6</f>
        <v/>
      </c>
      <c r="N85" s="40">
        <f>Monatsabrechnung!O238*$D$6</f>
        <v/>
      </c>
      <c r="O85" s="40">
        <f>Monatsabrechnung!P238*$D$6</f>
        <v/>
      </c>
      <c r="P85" s="28">
        <f>SUM(D85:O85)</f>
        <v/>
      </c>
      <c r="Q85" s="40">
        <f>Monatsabrechnung!E238*$D$4*(1+$D$6)</f>
        <v/>
      </c>
      <c r="R85" s="40">
        <f>Monatsabrechnung!F238*$D$4*(1+$D$6)</f>
        <v/>
      </c>
      <c r="S85" s="40">
        <f>Monatsabrechnung!G238*$D$4*(1+$D$6)</f>
        <v/>
      </c>
      <c r="T85" s="40">
        <f>Monatsabrechnung!H238*$D$4*(1+$D$6)</f>
        <v/>
      </c>
      <c r="U85" s="40">
        <f>Monatsabrechnung!I238*$D$4*(1+$D$6)</f>
        <v/>
      </c>
      <c r="V85" s="40">
        <f>Monatsabrechnung!J238*$D$4*(1+$D$6)</f>
        <v/>
      </c>
      <c r="W85" s="40">
        <f>Monatsabrechnung!K238*$D$4*(1+$D$6)</f>
        <v/>
      </c>
      <c r="X85" s="40">
        <f>Monatsabrechnung!L238*$D$4*(1+$D$6)</f>
        <v/>
      </c>
      <c r="Y85" s="40">
        <f>Monatsabrechnung!M238*$D$4*(1+$D$6)</f>
        <v/>
      </c>
      <c r="Z85" s="40">
        <f>Monatsabrechnung!N238*$D$4*(1+$D$6)</f>
        <v/>
      </c>
      <c r="AA85" s="40">
        <f>Monatsabrechnung!O238*$D$4*(1+$D$6)</f>
        <v/>
      </c>
      <c r="AB85" s="40">
        <f>Monatsabrechnung!P238*$D$4*(1+$D$6)</f>
        <v/>
      </c>
      <c r="AC85" s="28">
        <f>SUM(Q85:AB85)</f>
        <v/>
      </c>
      <c r="AD85" s="40">
        <f>Monatsabrechnung!E238*$D$5*(1+$D$6)</f>
        <v/>
      </c>
      <c r="AE85" s="40">
        <f>Monatsabrechnung!F238*$D$5*(1+$D$6)</f>
        <v/>
      </c>
      <c r="AF85" s="40">
        <f>Monatsabrechnung!G238*$D$5*(1+$D$6)</f>
        <v/>
      </c>
      <c r="AG85" s="40">
        <f>Monatsabrechnung!H238*$D$5*(1+$D$6)</f>
        <v/>
      </c>
      <c r="AH85" s="40">
        <f>Monatsabrechnung!I238*$D$5*(1+$D$6)</f>
        <v/>
      </c>
      <c r="AI85" s="40">
        <f>Monatsabrechnung!J238*$D$5*(1+$D$6)</f>
        <v/>
      </c>
      <c r="AJ85" s="40">
        <f>Monatsabrechnung!K238*$D$5*(1+$D$6)</f>
        <v/>
      </c>
      <c r="AK85" s="40">
        <f>Monatsabrechnung!L238*$D$5*(1+$D$6)</f>
        <v/>
      </c>
      <c r="AL85" s="40">
        <f>Monatsabrechnung!M238*$D$5*(1+$D$6)</f>
        <v/>
      </c>
      <c r="AM85" s="40">
        <f>Monatsabrechnung!N238*$D$5*(1+$D$6)</f>
        <v/>
      </c>
      <c r="AN85" s="40">
        <f>Monatsabrechnung!O238*$D$5*(1+$D$6)</f>
        <v/>
      </c>
      <c r="AO85" s="40">
        <f>Monatsabrechnung!P238*$D$5*(1+$D$6)</f>
        <v/>
      </c>
      <c r="AP85" s="28">
        <f>SUM(AD85:AO85)</f>
        <v/>
      </c>
      <c r="AQ85" s="59">
        <f>P85+AC85+AP85</f>
        <v/>
      </c>
    </row>
    <row r="86">
      <c r="A86" s="91">
        <f>Stammdaten!A86</f>
        <v/>
      </c>
      <c r="B86" s="73">
        <f>Stammdaten!B86</f>
        <v/>
      </c>
      <c r="C86" s="73">
        <f>Stammdaten!C86</f>
        <v/>
      </c>
      <c r="D86" s="40">
        <f>Monatsabrechnung!E241*$D$6</f>
        <v/>
      </c>
      <c r="E86" s="40">
        <f>Monatsabrechnung!F241*$D$6</f>
        <v/>
      </c>
      <c r="F86" s="40">
        <f>Monatsabrechnung!G241*$D$6</f>
        <v/>
      </c>
      <c r="G86" s="40">
        <f>Monatsabrechnung!H241*$D$6</f>
        <v/>
      </c>
      <c r="H86" s="40">
        <f>Monatsabrechnung!I241*$D$6</f>
        <v/>
      </c>
      <c r="I86" s="40">
        <f>Monatsabrechnung!J241*$D$6</f>
        <v/>
      </c>
      <c r="J86" s="40">
        <f>Monatsabrechnung!K241*$D$6</f>
        <v/>
      </c>
      <c r="K86" s="40">
        <f>Monatsabrechnung!L241*$D$6</f>
        <v/>
      </c>
      <c r="L86" s="40">
        <f>Monatsabrechnung!M241*$D$6</f>
        <v/>
      </c>
      <c r="M86" s="40">
        <f>Monatsabrechnung!N241*$D$6</f>
        <v/>
      </c>
      <c r="N86" s="40">
        <f>Monatsabrechnung!O241*$D$6</f>
        <v/>
      </c>
      <c r="O86" s="40">
        <f>Monatsabrechnung!P241*$D$6</f>
        <v/>
      </c>
      <c r="P86" s="28">
        <f>SUM(D86:O86)</f>
        <v/>
      </c>
      <c r="Q86" s="40">
        <f>Monatsabrechnung!E241*$D$4*(1+$D$6)</f>
        <v/>
      </c>
      <c r="R86" s="40">
        <f>Monatsabrechnung!F241*$D$4*(1+$D$6)</f>
        <v/>
      </c>
      <c r="S86" s="40">
        <f>Monatsabrechnung!G241*$D$4*(1+$D$6)</f>
        <v/>
      </c>
      <c r="T86" s="40">
        <f>Monatsabrechnung!H241*$D$4*(1+$D$6)</f>
        <v/>
      </c>
      <c r="U86" s="40">
        <f>Monatsabrechnung!I241*$D$4*(1+$D$6)</f>
        <v/>
      </c>
      <c r="V86" s="40">
        <f>Monatsabrechnung!J241*$D$4*(1+$D$6)</f>
        <v/>
      </c>
      <c r="W86" s="40">
        <f>Monatsabrechnung!K241*$D$4*(1+$D$6)</f>
        <v/>
      </c>
      <c r="X86" s="40">
        <f>Monatsabrechnung!L241*$D$4*(1+$D$6)</f>
        <v/>
      </c>
      <c r="Y86" s="40">
        <f>Monatsabrechnung!M241*$D$4*(1+$D$6)</f>
        <v/>
      </c>
      <c r="Z86" s="40">
        <f>Monatsabrechnung!N241*$D$4*(1+$D$6)</f>
        <v/>
      </c>
      <c r="AA86" s="40">
        <f>Monatsabrechnung!O241*$D$4*(1+$D$6)</f>
        <v/>
      </c>
      <c r="AB86" s="40">
        <f>Monatsabrechnung!P241*$D$4*(1+$D$6)</f>
        <v/>
      </c>
      <c r="AC86" s="28">
        <f>SUM(Q86:AB86)</f>
        <v/>
      </c>
      <c r="AD86" s="40">
        <f>Monatsabrechnung!E241*$D$5*(1+$D$6)</f>
        <v/>
      </c>
      <c r="AE86" s="40">
        <f>Monatsabrechnung!F241*$D$5*(1+$D$6)</f>
        <v/>
      </c>
      <c r="AF86" s="40">
        <f>Monatsabrechnung!G241*$D$5*(1+$D$6)</f>
        <v/>
      </c>
      <c r="AG86" s="40">
        <f>Monatsabrechnung!H241*$D$5*(1+$D$6)</f>
        <v/>
      </c>
      <c r="AH86" s="40">
        <f>Monatsabrechnung!I241*$D$5*(1+$D$6)</f>
        <v/>
      </c>
      <c r="AI86" s="40">
        <f>Monatsabrechnung!J241*$D$5*(1+$D$6)</f>
        <v/>
      </c>
      <c r="AJ86" s="40">
        <f>Monatsabrechnung!K241*$D$5*(1+$D$6)</f>
        <v/>
      </c>
      <c r="AK86" s="40">
        <f>Monatsabrechnung!L241*$D$5*(1+$D$6)</f>
        <v/>
      </c>
      <c r="AL86" s="40">
        <f>Monatsabrechnung!M241*$D$5*(1+$D$6)</f>
        <v/>
      </c>
      <c r="AM86" s="40">
        <f>Monatsabrechnung!N241*$D$5*(1+$D$6)</f>
        <v/>
      </c>
      <c r="AN86" s="40">
        <f>Monatsabrechnung!O241*$D$5*(1+$D$6)</f>
        <v/>
      </c>
      <c r="AO86" s="40">
        <f>Monatsabrechnung!P241*$D$5*(1+$D$6)</f>
        <v/>
      </c>
      <c r="AP86" s="28">
        <f>SUM(AD86:AO86)</f>
        <v/>
      </c>
      <c r="AQ86" s="59">
        <f>P86+AC86+AP86</f>
        <v/>
      </c>
    </row>
    <row r="87">
      <c r="A87" s="91">
        <f>Stammdaten!A87</f>
        <v/>
      </c>
      <c r="B87" s="73">
        <f>Stammdaten!B87</f>
        <v/>
      </c>
      <c r="C87" s="73">
        <f>Stammdaten!C87</f>
        <v/>
      </c>
      <c r="D87" s="40">
        <f>Monatsabrechnung!E244*$D$6</f>
        <v/>
      </c>
      <c r="E87" s="40">
        <f>Monatsabrechnung!F244*$D$6</f>
        <v/>
      </c>
      <c r="F87" s="40">
        <f>Monatsabrechnung!G244*$D$6</f>
        <v/>
      </c>
      <c r="G87" s="40">
        <f>Monatsabrechnung!H244*$D$6</f>
        <v/>
      </c>
      <c r="H87" s="40">
        <f>Monatsabrechnung!I244*$D$6</f>
        <v/>
      </c>
      <c r="I87" s="40">
        <f>Monatsabrechnung!J244*$D$6</f>
        <v/>
      </c>
      <c r="J87" s="40">
        <f>Monatsabrechnung!K244*$D$6</f>
        <v/>
      </c>
      <c r="K87" s="40">
        <f>Monatsabrechnung!L244*$D$6</f>
        <v/>
      </c>
      <c r="L87" s="40">
        <f>Monatsabrechnung!M244*$D$6</f>
        <v/>
      </c>
      <c r="M87" s="40">
        <f>Monatsabrechnung!N244*$D$6</f>
        <v/>
      </c>
      <c r="N87" s="40">
        <f>Monatsabrechnung!O244*$D$6</f>
        <v/>
      </c>
      <c r="O87" s="40">
        <f>Monatsabrechnung!P244*$D$6</f>
        <v/>
      </c>
      <c r="P87" s="28">
        <f>SUM(D87:O87)</f>
        <v/>
      </c>
      <c r="Q87" s="40">
        <f>Monatsabrechnung!E244*$D$4*(1+$D$6)</f>
        <v/>
      </c>
      <c r="R87" s="40">
        <f>Monatsabrechnung!F244*$D$4*(1+$D$6)</f>
        <v/>
      </c>
      <c r="S87" s="40">
        <f>Monatsabrechnung!G244*$D$4*(1+$D$6)</f>
        <v/>
      </c>
      <c r="T87" s="40">
        <f>Monatsabrechnung!H244*$D$4*(1+$D$6)</f>
        <v/>
      </c>
      <c r="U87" s="40">
        <f>Monatsabrechnung!I244*$D$4*(1+$D$6)</f>
        <v/>
      </c>
      <c r="V87" s="40">
        <f>Monatsabrechnung!J244*$D$4*(1+$D$6)</f>
        <v/>
      </c>
      <c r="W87" s="40">
        <f>Monatsabrechnung!K244*$D$4*(1+$D$6)</f>
        <v/>
      </c>
      <c r="X87" s="40">
        <f>Monatsabrechnung!L244*$D$4*(1+$D$6)</f>
        <v/>
      </c>
      <c r="Y87" s="40">
        <f>Monatsabrechnung!M244*$D$4*(1+$D$6)</f>
        <v/>
      </c>
      <c r="Z87" s="40">
        <f>Monatsabrechnung!N244*$D$4*(1+$D$6)</f>
        <v/>
      </c>
      <c r="AA87" s="40">
        <f>Monatsabrechnung!O244*$D$4*(1+$D$6)</f>
        <v/>
      </c>
      <c r="AB87" s="40">
        <f>Monatsabrechnung!P244*$D$4*(1+$D$6)</f>
        <v/>
      </c>
      <c r="AC87" s="28">
        <f>SUM(Q87:AB87)</f>
        <v/>
      </c>
      <c r="AD87" s="40">
        <f>Monatsabrechnung!E244*$D$5*(1+$D$6)</f>
        <v/>
      </c>
      <c r="AE87" s="40">
        <f>Monatsabrechnung!F244*$D$5*(1+$D$6)</f>
        <v/>
      </c>
      <c r="AF87" s="40">
        <f>Monatsabrechnung!G244*$D$5*(1+$D$6)</f>
        <v/>
      </c>
      <c r="AG87" s="40">
        <f>Monatsabrechnung!H244*$D$5*(1+$D$6)</f>
        <v/>
      </c>
      <c r="AH87" s="40">
        <f>Monatsabrechnung!I244*$D$5*(1+$D$6)</f>
        <v/>
      </c>
      <c r="AI87" s="40">
        <f>Monatsabrechnung!J244*$D$5*(1+$D$6)</f>
        <v/>
      </c>
      <c r="AJ87" s="40">
        <f>Monatsabrechnung!K244*$D$5*(1+$D$6)</f>
        <v/>
      </c>
      <c r="AK87" s="40">
        <f>Monatsabrechnung!L244*$D$5*(1+$D$6)</f>
        <v/>
      </c>
      <c r="AL87" s="40">
        <f>Monatsabrechnung!M244*$D$5*(1+$D$6)</f>
        <v/>
      </c>
      <c r="AM87" s="40">
        <f>Monatsabrechnung!N244*$D$5*(1+$D$6)</f>
        <v/>
      </c>
      <c r="AN87" s="40">
        <f>Monatsabrechnung!O244*$D$5*(1+$D$6)</f>
        <v/>
      </c>
      <c r="AO87" s="40">
        <f>Monatsabrechnung!P244*$D$5*(1+$D$6)</f>
        <v/>
      </c>
      <c r="AP87" s="28">
        <f>SUM(AD87:AO87)</f>
        <v/>
      </c>
      <c r="AQ87" s="59">
        <f>P87+AC87+AP87</f>
        <v/>
      </c>
    </row>
    <row r="88">
      <c r="A88" s="91">
        <f>Stammdaten!A88</f>
        <v/>
      </c>
      <c r="B88" s="73">
        <f>Stammdaten!B88</f>
        <v/>
      </c>
      <c r="C88" s="73">
        <f>Stammdaten!C88</f>
        <v/>
      </c>
      <c r="D88" s="40">
        <f>Monatsabrechnung!E247*$D$6</f>
        <v/>
      </c>
      <c r="E88" s="40">
        <f>Monatsabrechnung!F247*$D$6</f>
        <v/>
      </c>
      <c r="F88" s="40">
        <f>Monatsabrechnung!G247*$D$6</f>
        <v/>
      </c>
      <c r="G88" s="40">
        <f>Monatsabrechnung!H247*$D$6</f>
        <v/>
      </c>
      <c r="H88" s="40">
        <f>Monatsabrechnung!I247*$D$6</f>
        <v/>
      </c>
      <c r="I88" s="40">
        <f>Monatsabrechnung!J247*$D$6</f>
        <v/>
      </c>
      <c r="J88" s="40">
        <f>Monatsabrechnung!K247*$D$6</f>
        <v/>
      </c>
      <c r="K88" s="40">
        <f>Monatsabrechnung!L247*$D$6</f>
        <v/>
      </c>
      <c r="L88" s="40">
        <f>Monatsabrechnung!M247*$D$6</f>
        <v/>
      </c>
      <c r="M88" s="40">
        <f>Monatsabrechnung!N247*$D$6</f>
        <v/>
      </c>
      <c r="N88" s="40">
        <f>Monatsabrechnung!O247*$D$6</f>
        <v/>
      </c>
      <c r="O88" s="40">
        <f>Monatsabrechnung!P247*$D$6</f>
        <v/>
      </c>
      <c r="P88" s="28">
        <f>SUM(D88:O88)</f>
        <v/>
      </c>
      <c r="Q88" s="40">
        <f>Monatsabrechnung!E247*$D$4*(1+$D$6)</f>
        <v/>
      </c>
      <c r="R88" s="40">
        <f>Monatsabrechnung!F247*$D$4*(1+$D$6)</f>
        <v/>
      </c>
      <c r="S88" s="40">
        <f>Monatsabrechnung!G247*$D$4*(1+$D$6)</f>
        <v/>
      </c>
      <c r="T88" s="40">
        <f>Monatsabrechnung!H247*$D$4*(1+$D$6)</f>
        <v/>
      </c>
      <c r="U88" s="40">
        <f>Monatsabrechnung!I247*$D$4*(1+$D$6)</f>
        <v/>
      </c>
      <c r="V88" s="40">
        <f>Monatsabrechnung!J247*$D$4*(1+$D$6)</f>
        <v/>
      </c>
      <c r="W88" s="40">
        <f>Monatsabrechnung!K247*$D$4*(1+$D$6)</f>
        <v/>
      </c>
      <c r="X88" s="40">
        <f>Monatsabrechnung!L247*$D$4*(1+$D$6)</f>
        <v/>
      </c>
      <c r="Y88" s="40">
        <f>Monatsabrechnung!M247*$D$4*(1+$D$6)</f>
        <v/>
      </c>
      <c r="Z88" s="40">
        <f>Monatsabrechnung!N247*$D$4*(1+$D$6)</f>
        <v/>
      </c>
      <c r="AA88" s="40">
        <f>Monatsabrechnung!O247*$D$4*(1+$D$6)</f>
        <v/>
      </c>
      <c r="AB88" s="40">
        <f>Monatsabrechnung!P247*$D$4*(1+$D$6)</f>
        <v/>
      </c>
      <c r="AC88" s="28">
        <f>SUM(Q88:AB88)</f>
        <v/>
      </c>
      <c r="AD88" s="40">
        <f>Monatsabrechnung!E247*$D$5*(1+$D$6)</f>
        <v/>
      </c>
      <c r="AE88" s="40">
        <f>Monatsabrechnung!F247*$D$5*(1+$D$6)</f>
        <v/>
      </c>
      <c r="AF88" s="40">
        <f>Monatsabrechnung!G247*$D$5*(1+$D$6)</f>
        <v/>
      </c>
      <c r="AG88" s="40">
        <f>Monatsabrechnung!H247*$D$5*(1+$D$6)</f>
        <v/>
      </c>
      <c r="AH88" s="40">
        <f>Monatsabrechnung!I247*$D$5*(1+$D$6)</f>
        <v/>
      </c>
      <c r="AI88" s="40">
        <f>Monatsabrechnung!J247*$D$5*(1+$D$6)</f>
        <v/>
      </c>
      <c r="AJ88" s="40">
        <f>Monatsabrechnung!K247*$D$5*(1+$D$6)</f>
        <v/>
      </c>
      <c r="AK88" s="40">
        <f>Monatsabrechnung!L247*$D$5*(1+$D$6)</f>
        <v/>
      </c>
      <c r="AL88" s="40">
        <f>Monatsabrechnung!M247*$D$5*(1+$D$6)</f>
        <v/>
      </c>
      <c r="AM88" s="40">
        <f>Monatsabrechnung!N247*$D$5*(1+$D$6)</f>
        <v/>
      </c>
      <c r="AN88" s="40">
        <f>Monatsabrechnung!O247*$D$5*(1+$D$6)</f>
        <v/>
      </c>
      <c r="AO88" s="40">
        <f>Monatsabrechnung!P247*$D$5*(1+$D$6)</f>
        <v/>
      </c>
      <c r="AP88" s="28">
        <f>SUM(AD88:AO88)</f>
        <v/>
      </c>
      <c r="AQ88" s="59">
        <f>P88+AC88+AP88</f>
        <v/>
      </c>
    </row>
    <row r="89">
      <c r="A89" s="89">
        <f>Stammdaten!A89</f>
        <v/>
      </c>
      <c r="B89" s="67">
        <f>Stammdaten!B89</f>
        <v/>
      </c>
      <c r="C89" s="67">
        <f>Stammdaten!C89</f>
        <v/>
      </c>
      <c r="D89" s="40">
        <f>Monatsabrechnung!E250*$D$6</f>
        <v/>
      </c>
      <c r="E89" s="40">
        <f>Monatsabrechnung!F250*$D$6</f>
        <v/>
      </c>
      <c r="F89" s="40">
        <f>Monatsabrechnung!G250*$D$6</f>
        <v/>
      </c>
      <c r="G89" s="40">
        <f>Monatsabrechnung!H250*$D$6</f>
        <v/>
      </c>
      <c r="H89" s="40">
        <f>Monatsabrechnung!I250*$D$6</f>
        <v/>
      </c>
      <c r="I89" s="40">
        <f>Monatsabrechnung!J250*$D$6</f>
        <v/>
      </c>
      <c r="J89" s="40">
        <f>Monatsabrechnung!K250*$D$6</f>
        <v/>
      </c>
      <c r="K89" s="40">
        <f>Monatsabrechnung!L250*$D$6</f>
        <v/>
      </c>
      <c r="L89" s="40">
        <f>Monatsabrechnung!M250*$D$6</f>
        <v/>
      </c>
      <c r="M89" s="40">
        <f>Monatsabrechnung!N250*$D$6</f>
        <v/>
      </c>
      <c r="N89" s="40">
        <f>Monatsabrechnung!O250*$D$6</f>
        <v/>
      </c>
      <c r="O89" s="40">
        <f>Monatsabrechnung!P250*$D$6</f>
        <v/>
      </c>
      <c r="P89" s="28">
        <f>SUM(D89:O89)</f>
        <v/>
      </c>
      <c r="Q89" s="40">
        <f>Monatsabrechnung!E250*$D$4*(1+$D$6)</f>
        <v/>
      </c>
      <c r="R89" s="40">
        <f>Monatsabrechnung!F250*$D$4*(1+$D$6)</f>
        <v/>
      </c>
      <c r="S89" s="40">
        <f>Monatsabrechnung!G250*$D$4*(1+$D$6)</f>
        <v/>
      </c>
      <c r="T89" s="40">
        <f>Monatsabrechnung!H250*$D$4*(1+$D$6)</f>
        <v/>
      </c>
      <c r="U89" s="40">
        <f>Monatsabrechnung!I250*$D$4*(1+$D$6)</f>
        <v/>
      </c>
      <c r="V89" s="40">
        <f>Monatsabrechnung!J250*$D$4*(1+$D$6)</f>
        <v/>
      </c>
      <c r="W89" s="40">
        <f>Monatsabrechnung!K250*$D$4*(1+$D$6)</f>
        <v/>
      </c>
      <c r="X89" s="40">
        <f>Monatsabrechnung!L250*$D$4*(1+$D$6)</f>
        <v/>
      </c>
      <c r="Y89" s="40">
        <f>Monatsabrechnung!M250*$D$4*(1+$D$6)</f>
        <v/>
      </c>
      <c r="Z89" s="40">
        <f>Monatsabrechnung!N250*$D$4*(1+$D$6)</f>
        <v/>
      </c>
      <c r="AA89" s="40">
        <f>Monatsabrechnung!O250*$D$4*(1+$D$6)</f>
        <v/>
      </c>
      <c r="AB89" s="40">
        <f>Monatsabrechnung!P250*$D$4*(1+$D$6)</f>
        <v/>
      </c>
      <c r="AC89" s="28">
        <f>SUM(Q89:AB89)</f>
        <v/>
      </c>
      <c r="AD89" s="40">
        <f>Monatsabrechnung!E250*$D$5*(1+$D$6)</f>
        <v/>
      </c>
      <c r="AE89" s="40">
        <f>Monatsabrechnung!F250*$D$5*(1+$D$6)</f>
        <v/>
      </c>
      <c r="AF89" s="40">
        <f>Monatsabrechnung!G250*$D$5*(1+$D$6)</f>
        <v/>
      </c>
      <c r="AG89" s="40">
        <f>Monatsabrechnung!H250*$D$5*(1+$D$6)</f>
        <v/>
      </c>
      <c r="AH89" s="40">
        <f>Monatsabrechnung!I250*$D$5*(1+$D$6)</f>
        <v/>
      </c>
      <c r="AI89" s="40">
        <f>Monatsabrechnung!J250*$D$5*(1+$D$6)</f>
        <v/>
      </c>
      <c r="AJ89" s="40">
        <f>Monatsabrechnung!K250*$D$5*(1+$D$6)</f>
        <v/>
      </c>
      <c r="AK89" s="40">
        <f>Monatsabrechnung!L250*$D$5*(1+$D$6)</f>
        <v/>
      </c>
      <c r="AL89" s="40">
        <f>Monatsabrechnung!M250*$D$5*(1+$D$6)</f>
        <v/>
      </c>
      <c r="AM89" s="40">
        <f>Monatsabrechnung!N250*$D$5*(1+$D$6)</f>
        <v/>
      </c>
      <c r="AN89" s="40">
        <f>Monatsabrechnung!O250*$D$5*(1+$D$6)</f>
        <v/>
      </c>
      <c r="AO89" s="40">
        <f>Monatsabrechnung!P250*$D$5*(1+$D$6)</f>
        <v/>
      </c>
      <c r="AP89" s="28">
        <f>SUM(AD89:AO89)</f>
        <v/>
      </c>
      <c r="AQ89" s="59">
        <f>P89+AC89+AP89</f>
        <v/>
      </c>
    </row>
    <row r="90">
      <c r="A90" s="89">
        <f>Stammdaten!A90</f>
        <v/>
      </c>
      <c r="B90" s="67">
        <f>Stammdaten!B90</f>
        <v/>
      </c>
      <c r="C90" s="67">
        <f>Stammdaten!C90</f>
        <v/>
      </c>
      <c r="D90" s="40">
        <f>Monatsabrechnung!E253*$D$6</f>
        <v/>
      </c>
      <c r="E90" s="40">
        <f>Monatsabrechnung!F253*$D$6</f>
        <v/>
      </c>
      <c r="F90" s="40">
        <f>Monatsabrechnung!G253*$D$6</f>
        <v/>
      </c>
      <c r="G90" s="40">
        <f>Monatsabrechnung!H253*$D$6</f>
        <v/>
      </c>
      <c r="H90" s="40">
        <f>Monatsabrechnung!I253*$D$6</f>
        <v/>
      </c>
      <c r="I90" s="40">
        <f>Monatsabrechnung!J253*$D$6</f>
        <v/>
      </c>
      <c r="J90" s="40">
        <f>Monatsabrechnung!K253*$D$6</f>
        <v/>
      </c>
      <c r="K90" s="40">
        <f>Monatsabrechnung!L253*$D$6</f>
        <v/>
      </c>
      <c r="L90" s="40">
        <f>Monatsabrechnung!M253*$D$6</f>
        <v/>
      </c>
      <c r="M90" s="40">
        <f>Monatsabrechnung!N253*$D$6</f>
        <v/>
      </c>
      <c r="N90" s="40">
        <f>Monatsabrechnung!O253*$D$6</f>
        <v/>
      </c>
      <c r="O90" s="40">
        <f>Monatsabrechnung!P253*$D$6</f>
        <v/>
      </c>
      <c r="P90" s="28">
        <f>SUM(D90:O90)</f>
        <v/>
      </c>
      <c r="Q90" s="40">
        <f>Monatsabrechnung!E253*$D$4*(1+$D$6)</f>
        <v/>
      </c>
      <c r="R90" s="40">
        <f>Monatsabrechnung!F253*$D$4*(1+$D$6)</f>
        <v/>
      </c>
      <c r="S90" s="40">
        <f>Monatsabrechnung!G253*$D$4*(1+$D$6)</f>
        <v/>
      </c>
      <c r="T90" s="40">
        <f>Monatsabrechnung!H253*$D$4*(1+$D$6)</f>
        <v/>
      </c>
      <c r="U90" s="40">
        <f>Monatsabrechnung!I253*$D$4*(1+$D$6)</f>
        <v/>
      </c>
      <c r="V90" s="40">
        <f>Monatsabrechnung!J253*$D$4*(1+$D$6)</f>
        <v/>
      </c>
      <c r="W90" s="40">
        <f>Monatsabrechnung!K253*$D$4*(1+$D$6)</f>
        <v/>
      </c>
      <c r="X90" s="40">
        <f>Monatsabrechnung!L253*$D$4*(1+$D$6)</f>
        <v/>
      </c>
      <c r="Y90" s="40">
        <f>Monatsabrechnung!M253*$D$4*(1+$D$6)</f>
        <v/>
      </c>
      <c r="Z90" s="40">
        <f>Monatsabrechnung!N253*$D$4*(1+$D$6)</f>
        <v/>
      </c>
      <c r="AA90" s="40">
        <f>Monatsabrechnung!O253*$D$4*(1+$D$6)</f>
        <v/>
      </c>
      <c r="AB90" s="40">
        <f>Monatsabrechnung!P253*$D$4*(1+$D$6)</f>
        <v/>
      </c>
      <c r="AC90" s="28">
        <f>SUM(Q90:AB90)</f>
        <v/>
      </c>
      <c r="AD90" s="40">
        <f>Monatsabrechnung!E253*$D$5*(1+$D$6)</f>
        <v/>
      </c>
      <c r="AE90" s="40">
        <f>Monatsabrechnung!F253*$D$5*(1+$D$6)</f>
        <v/>
      </c>
      <c r="AF90" s="40">
        <f>Monatsabrechnung!G253*$D$5*(1+$D$6)</f>
        <v/>
      </c>
      <c r="AG90" s="40">
        <f>Monatsabrechnung!H253*$D$5*(1+$D$6)</f>
        <v/>
      </c>
      <c r="AH90" s="40">
        <f>Monatsabrechnung!I253*$D$5*(1+$D$6)</f>
        <v/>
      </c>
      <c r="AI90" s="40">
        <f>Monatsabrechnung!J253*$D$5*(1+$D$6)</f>
        <v/>
      </c>
      <c r="AJ90" s="40">
        <f>Monatsabrechnung!K253*$D$5*(1+$D$6)</f>
        <v/>
      </c>
      <c r="AK90" s="40">
        <f>Monatsabrechnung!L253*$D$5*(1+$D$6)</f>
        <v/>
      </c>
      <c r="AL90" s="40">
        <f>Monatsabrechnung!M253*$D$5*(1+$D$6)</f>
        <v/>
      </c>
      <c r="AM90" s="40">
        <f>Monatsabrechnung!N253*$D$5*(1+$D$6)</f>
        <v/>
      </c>
      <c r="AN90" s="40">
        <f>Monatsabrechnung!O253*$D$5*(1+$D$6)</f>
        <v/>
      </c>
      <c r="AO90" s="40">
        <f>Monatsabrechnung!P253*$D$5*(1+$D$6)</f>
        <v/>
      </c>
      <c r="AP90" s="28">
        <f>SUM(AD90:AO90)</f>
        <v/>
      </c>
      <c r="AQ90" s="59">
        <f>P90+AC90+AP90</f>
        <v/>
      </c>
    </row>
    <row r="91">
      <c r="A91" s="89">
        <f>Stammdaten!A91</f>
        <v/>
      </c>
      <c r="B91" s="67">
        <f>Stammdaten!B91</f>
        <v/>
      </c>
      <c r="C91" s="67">
        <f>Stammdaten!C91</f>
        <v/>
      </c>
      <c r="D91" s="40">
        <f>Monatsabrechnung!E256*$D$6</f>
        <v/>
      </c>
      <c r="E91" s="40">
        <f>Monatsabrechnung!F256*$D$6</f>
        <v/>
      </c>
      <c r="F91" s="40">
        <f>Monatsabrechnung!G256*$D$6</f>
        <v/>
      </c>
      <c r="G91" s="40">
        <f>Monatsabrechnung!H256*$D$6</f>
        <v/>
      </c>
      <c r="H91" s="40">
        <f>Monatsabrechnung!I256*$D$6</f>
        <v/>
      </c>
      <c r="I91" s="40">
        <f>Monatsabrechnung!J256*$D$6</f>
        <v/>
      </c>
      <c r="J91" s="40">
        <f>Monatsabrechnung!K256*$D$6</f>
        <v/>
      </c>
      <c r="K91" s="40">
        <f>Monatsabrechnung!L256*$D$6</f>
        <v/>
      </c>
      <c r="L91" s="40">
        <f>Monatsabrechnung!M256*$D$6</f>
        <v/>
      </c>
      <c r="M91" s="40">
        <f>Monatsabrechnung!N256*$D$6</f>
        <v/>
      </c>
      <c r="N91" s="40">
        <f>Monatsabrechnung!O256*$D$6</f>
        <v/>
      </c>
      <c r="O91" s="40">
        <f>Monatsabrechnung!P256*$D$6</f>
        <v/>
      </c>
      <c r="P91" s="28">
        <f>SUM(D91:O91)</f>
        <v/>
      </c>
      <c r="Q91" s="40">
        <f>Monatsabrechnung!E256*$D$4*(1+$D$6)</f>
        <v/>
      </c>
      <c r="R91" s="40">
        <f>Monatsabrechnung!F256*$D$4*(1+$D$6)</f>
        <v/>
      </c>
      <c r="S91" s="40">
        <f>Monatsabrechnung!G256*$D$4*(1+$D$6)</f>
        <v/>
      </c>
      <c r="T91" s="40">
        <f>Monatsabrechnung!H256*$D$4*(1+$D$6)</f>
        <v/>
      </c>
      <c r="U91" s="40">
        <f>Monatsabrechnung!I256*$D$4*(1+$D$6)</f>
        <v/>
      </c>
      <c r="V91" s="40">
        <f>Monatsabrechnung!J256*$D$4*(1+$D$6)</f>
        <v/>
      </c>
      <c r="W91" s="40">
        <f>Monatsabrechnung!K256*$D$4*(1+$D$6)</f>
        <v/>
      </c>
      <c r="X91" s="40">
        <f>Monatsabrechnung!L256*$D$4*(1+$D$6)</f>
        <v/>
      </c>
      <c r="Y91" s="40">
        <f>Monatsabrechnung!M256*$D$4*(1+$D$6)</f>
        <v/>
      </c>
      <c r="Z91" s="40">
        <f>Monatsabrechnung!N256*$D$4*(1+$D$6)</f>
        <v/>
      </c>
      <c r="AA91" s="40">
        <f>Monatsabrechnung!O256*$D$4*(1+$D$6)</f>
        <v/>
      </c>
      <c r="AB91" s="40">
        <f>Monatsabrechnung!P256*$D$4*(1+$D$6)</f>
        <v/>
      </c>
      <c r="AC91" s="28">
        <f>SUM(Q91:AB91)</f>
        <v/>
      </c>
      <c r="AD91" s="40">
        <f>Monatsabrechnung!E256*$D$5*(1+$D$6)</f>
        <v/>
      </c>
      <c r="AE91" s="40">
        <f>Monatsabrechnung!F256*$D$5*(1+$D$6)</f>
        <v/>
      </c>
      <c r="AF91" s="40">
        <f>Monatsabrechnung!G256*$D$5*(1+$D$6)</f>
        <v/>
      </c>
      <c r="AG91" s="40">
        <f>Monatsabrechnung!H256*$D$5*(1+$D$6)</f>
        <v/>
      </c>
      <c r="AH91" s="40">
        <f>Monatsabrechnung!I256*$D$5*(1+$D$6)</f>
        <v/>
      </c>
      <c r="AI91" s="40">
        <f>Monatsabrechnung!J256*$D$5*(1+$D$6)</f>
        <v/>
      </c>
      <c r="AJ91" s="40">
        <f>Monatsabrechnung!K256*$D$5*(1+$D$6)</f>
        <v/>
      </c>
      <c r="AK91" s="40">
        <f>Monatsabrechnung!L256*$D$5*(1+$D$6)</f>
        <v/>
      </c>
      <c r="AL91" s="40">
        <f>Monatsabrechnung!M256*$D$5*(1+$D$6)</f>
        <v/>
      </c>
      <c r="AM91" s="40">
        <f>Monatsabrechnung!N256*$D$5*(1+$D$6)</f>
        <v/>
      </c>
      <c r="AN91" s="40">
        <f>Monatsabrechnung!O256*$D$5*(1+$D$6)</f>
        <v/>
      </c>
      <c r="AO91" s="40">
        <f>Monatsabrechnung!P256*$D$5*(1+$D$6)</f>
        <v/>
      </c>
      <c r="AP91" s="28">
        <f>SUM(AD91:AO91)</f>
        <v/>
      </c>
      <c r="AQ91" s="59">
        <f>P91+AC91+AP91</f>
        <v/>
      </c>
    </row>
    <row r="92">
      <c r="A92" s="89">
        <f>Stammdaten!A92</f>
        <v/>
      </c>
      <c r="B92" s="67">
        <f>Stammdaten!B92</f>
        <v/>
      </c>
      <c r="C92" s="67">
        <f>Stammdaten!C92</f>
        <v/>
      </c>
      <c r="D92" s="40">
        <f>Monatsabrechnung!E259*$D$6</f>
        <v/>
      </c>
      <c r="E92" s="40">
        <f>Monatsabrechnung!F259*$D$6</f>
        <v/>
      </c>
      <c r="F92" s="40">
        <f>Monatsabrechnung!G259*$D$6</f>
        <v/>
      </c>
      <c r="G92" s="40">
        <f>Monatsabrechnung!H259*$D$6</f>
        <v/>
      </c>
      <c r="H92" s="40">
        <f>Monatsabrechnung!I259*$D$6</f>
        <v/>
      </c>
      <c r="I92" s="40">
        <f>Monatsabrechnung!J259*$D$6</f>
        <v/>
      </c>
      <c r="J92" s="40">
        <f>Monatsabrechnung!K259*$D$6</f>
        <v/>
      </c>
      <c r="K92" s="40">
        <f>Monatsabrechnung!L259*$D$6</f>
        <v/>
      </c>
      <c r="L92" s="40">
        <f>Monatsabrechnung!M259*$D$6</f>
        <v/>
      </c>
      <c r="M92" s="40">
        <f>Monatsabrechnung!N259*$D$6</f>
        <v/>
      </c>
      <c r="N92" s="40">
        <f>Monatsabrechnung!O259*$D$6</f>
        <v/>
      </c>
      <c r="O92" s="40">
        <f>Monatsabrechnung!P259*$D$6</f>
        <v/>
      </c>
      <c r="P92" s="28">
        <f>SUM(D92:O92)</f>
        <v/>
      </c>
      <c r="Q92" s="40">
        <f>Monatsabrechnung!E259*$D$4*(1+$D$6)</f>
        <v/>
      </c>
      <c r="R92" s="40">
        <f>Monatsabrechnung!F259*$D$4*(1+$D$6)</f>
        <v/>
      </c>
      <c r="S92" s="40">
        <f>Monatsabrechnung!G259*$D$4*(1+$D$6)</f>
        <v/>
      </c>
      <c r="T92" s="40">
        <f>Monatsabrechnung!H259*$D$4*(1+$D$6)</f>
        <v/>
      </c>
      <c r="U92" s="40">
        <f>Monatsabrechnung!I259*$D$4*(1+$D$6)</f>
        <v/>
      </c>
      <c r="V92" s="40">
        <f>Monatsabrechnung!J259*$D$4*(1+$D$6)</f>
        <v/>
      </c>
      <c r="W92" s="40">
        <f>Monatsabrechnung!K259*$D$4*(1+$D$6)</f>
        <v/>
      </c>
      <c r="X92" s="40">
        <f>Monatsabrechnung!L259*$D$4*(1+$D$6)</f>
        <v/>
      </c>
      <c r="Y92" s="40">
        <f>Monatsabrechnung!M259*$D$4*(1+$D$6)</f>
        <v/>
      </c>
      <c r="Z92" s="40">
        <f>Monatsabrechnung!N259*$D$4*(1+$D$6)</f>
        <v/>
      </c>
      <c r="AA92" s="40">
        <f>Monatsabrechnung!O259*$D$4*(1+$D$6)</f>
        <v/>
      </c>
      <c r="AB92" s="40">
        <f>Monatsabrechnung!P259*$D$4*(1+$D$6)</f>
        <v/>
      </c>
      <c r="AC92" s="28">
        <f>SUM(Q92:AB92)</f>
        <v/>
      </c>
      <c r="AD92" s="40">
        <f>Monatsabrechnung!E259*$D$5*(1+$D$6)</f>
        <v/>
      </c>
      <c r="AE92" s="40">
        <f>Monatsabrechnung!F259*$D$5*(1+$D$6)</f>
        <v/>
      </c>
      <c r="AF92" s="40">
        <f>Monatsabrechnung!G259*$D$5*(1+$D$6)</f>
        <v/>
      </c>
      <c r="AG92" s="40">
        <f>Monatsabrechnung!H259*$D$5*(1+$D$6)</f>
        <v/>
      </c>
      <c r="AH92" s="40">
        <f>Monatsabrechnung!I259*$D$5*(1+$D$6)</f>
        <v/>
      </c>
      <c r="AI92" s="40">
        <f>Monatsabrechnung!J259*$D$5*(1+$D$6)</f>
        <v/>
      </c>
      <c r="AJ92" s="40">
        <f>Monatsabrechnung!K259*$D$5*(1+$D$6)</f>
        <v/>
      </c>
      <c r="AK92" s="40">
        <f>Monatsabrechnung!L259*$D$5*(1+$D$6)</f>
        <v/>
      </c>
      <c r="AL92" s="40">
        <f>Monatsabrechnung!M259*$D$5*(1+$D$6)</f>
        <v/>
      </c>
      <c r="AM92" s="40">
        <f>Monatsabrechnung!N259*$D$5*(1+$D$6)</f>
        <v/>
      </c>
      <c r="AN92" s="40">
        <f>Monatsabrechnung!O259*$D$5*(1+$D$6)</f>
        <v/>
      </c>
      <c r="AO92" s="40">
        <f>Monatsabrechnung!P259*$D$5*(1+$D$6)</f>
        <v/>
      </c>
      <c r="AP92" s="28">
        <f>SUM(AD92:AO92)</f>
        <v/>
      </c>
      <c r="AQ92" s="59">
        <f>P92+AC92+AP92</f>
        <v/>
      </c>
    </row>
    <row r="93">
      <c r="A93" s="89">
        <f>Stammdaten!A93</f>
        <v/>
      </c>
      <c r="B93" s="67">
        <f>Stammdaten!B93</f>
        <v/>
      </c>
      <c r="C93" s="67">
        <f>Stammdaten!C93</f>
        <v/>
      </c>
      <c r="D93" s="40">
        <f>Monatsabrechnung!E262*$D$6</f>
        <v/>
      </c>
      <c r="E93" s="40">
        <f>Monatsabrechnung!F262*$D$6</f>
        <v/>
      </c>
      <c r="F93" s="40">
        <f>Monatsabrechnung!G262*$D$6</f>
        <v/>
      </c>
      <c r="G93" s="40">
        <f>Monatsabrechnung!H262*$D$6</f>
        <v/>
      </c>
      <c r="H93" s="40">
        <f>Monatsabrechnung!I262*$D$6</f>
        <v/>
      </c>
      <c r="I93" s="40">
        <f>Monatsabrechnung!J262*$D$6</f>
        <v/>
      </c>
      <c r="J93" s="40">
        <f>Monatsabrechnung!K262*$D$6</f>
        <v/>
      </c>
      <c r="K93" s="40">
        <f>Monatsabrechnung!L262*$D$6</f>
        <v/>
      </c>
      <c r="L93" s="40">
        <f>Monatsabrechnung!M262*$D$6</f>
        <v/>
      </c>
      <c r="M93" s="40">
        <f>Monatsabrechnung!N262*$D$6</f>
        <v/>
      </c>
      <c r="N93" s="40">
        <f>Monatsabrechnung!O262*$D$6</f>
        <v/>
      </c>
      <c r="O93" s="40">
        <f>Monatsabrechnung!P262*$D$6</f>
        <v/>
      </c>
      <c r="P93" s="28">
        <f>SUM(D93:O93)</f>
        <v/>
      </c>
      <c r="Q93" s="40">
        <f>Monatsabrechnung!E262*$D$4*(1+$D$6)</f>
        <v/>
      </c>
      <c r="R93" s="40">
        <f>Monatsabrechnung!F262*$D$4*(1+$D$6)</f>
        <v/>
      </c>
      <c r="S93" s="40">
        <f>Monatsabrechnung!G262*$D$4*(1+$D$6)</f>
        <v/>
      </c>
      <c r="T93" s="40">
        <f>Monatsabrechnung!H262*$D$4*(1+$D$6)</f>
        <v/>
      </c>
      <c r="U93" s="40">
        <f>Monatsabrechnung!I262*$D$4*(1+$D$6)</f>
        <v/>
      </c>
      <c r="V93" s="40">
        <f>Monatsabrechnung!J262*$D$4*(1+$D$6)</f>
        <v/>
      </c>
      <c r="W93" s="40">
        <f>Monatsabrechnung!K262*$D$4*(1+$D$6)</f>
        <v/>
      </c>
      <c r="X93" s="40">
        <f>Monatsabrechnung!L262*$D$4*(1+$D$6)</f>
        <v/>
      </c>
      <c r="Y93" s="40">
        <f>Monatsabrechnung!M262*$D$4*(1+$D$6)</f>
        <v/>
      </c>
      <c r="Z93" s="40">
        <f>Monatsabrechnung!N262*$D$4*(1+$D$6)</f>
        <v/>
      </c>
      <c r="AA93" s="40">
        <f>Monatsabrechnung!O262*$D$4*(1+$D$6)</f>
        <v/>
      </c>
      <c r="AB93" s="40">
        <f>Monatsabrechnung!P262*$D$4*(1+$D$6)</f>
        <v/>
      </c>
      <c r="AC93" s="28">
        <f>SUM(Q93:AB93)</f>
        <v/>
      </c>
      <c r="AD93" s="40">
        <f>Monatsabrechnung!E262*$D$5*(1+$D$6)</f>
        <v/>
      </c>
      <c r="AE93" s="40">
        <f>Monatsabrechnung!F262*$D$5*(1+$D$6)</f>
        <v/>
      </c>
      <c r="AF93" s="40">
        <f>Monatsabrechnung!G262*$D$5*(1+$D$6)</f>
        <v/>
      </c>
      <c r="AG93" s="40">
        <f>Monatsabrechnung!H262*$D$5*(1+$D$6)</f>
        <v/>
      </c>
      <c r="AH93" s="40">
        <f>Monatsabrechnung!I262*$D$5*(1+$D$6)</f>
        <v/>
      </c>
      <c r="AI93" s="40">
        <f>Monatsabrechnung!J262*$D$5*(1+$D$6)</f>
        <v/>
      </c>
      <c r="AJ93" s="40">
        <f>Monatsabrechnung!K262*$D$5*(1+$D$6)</f>
        <v/>
      </c>
      <c r="AK93" s="40">
        <f>Monatsabrechnung!L262*$D$5*(1+$D$6)</f>
        <v/>
      </c>
      <c r="AL93" s="40">
        <f>Monatsabrechnung!M262*$D$5*(1+$D$6)</f>
        <v/>
      </c>
      <c r="AM93" s="40">
        <f>Monatsabrechnung!N262*$D$5*(1+$D$6)</f>
        <v/>
      </c>
      <c r="AN93" s="40">
        <f>Monatsabrechnung!O262*$D$5*(1+$D$6)</f>
        <v/>
      </c>
      <c r="AO93" s="40">
        <f>Monatsabrechnung!P262*$D$5*(1+$D$6)</f>
        <v/>
      </c>
      <c r="AP93" s="28">
        <f>SUM(AD93:AO93)</f>
        <v/>
      </c>
      <c r="AQ93" s="59">
        <f>P93+AC93+AP93</f>
        <v/>
      </c>
    </row>
    <row r="94">
      <c r="A94" s="89">
        <f>Stammdaten!A94</f>
        <v/>
      </c>
      <c r="B94" s="67">
        <f>Stammdaten!B94</f>
        <v/>
      </c>
      <c r="C94" s="67">
        <f>Stammdaten!C94</f>
        <v/>
      </c>
      <c r="D94" s="40">
        <f>Monatsabrechnung!E265*$D$6</f>
        <v/>
      </c>
      <c r="E94" s="40">
        <f>Monatsabrechnung!F265*$D$6</f>
        <v/>
      </c>
      <c r="F94" s="40">
        <f>Monatsabrechnung!G265*$D$6</f>
        <v/>
      </c>
      <c r="G94" s="40">
        <f>Monatsabrechnung!H265*$D$6</f>
        <v/>
      </c>
      <c r="H94" s="40">
        <f>Monatsabrechnung!I265*$D$6</f>
        <v/>
      </c>
      <c r="I94" s="40">
        <f>Monatsabrechnung!J265*$D$6</f>
        <v/>
      </c>
      <c r="J94" s="40">
        <f>Monatsabrechnung!K265*$D$6</f>
        <v/>
      </c>
      <c r="K94" s="40">
        <f>Monatsabrechnung!L265*$D$6</f>
        <v/>
      </c>
      <c r="L94" s="40">
        <f>Monatsabrechnung!M265*$D$6</f>
        <v/>
      </c>
      <c r="M94" s="40">
        <f>Monatsabrechnung!N265*$D$6</f>
        <v/>
      </c>
      <c r="N94" s="40">
        <f>Monatsabrechnung!O265*$D$6</f>
        <v/>
      </c>
      <c r="O94" s="40">
        <f>Monatsabrechnung!P265*$D$6</f>
        <v/>
      </c>
      <c r="P94" s="28">
        <f>SUM(D94:O94)</f>
        <v/>
      </c>
      <c r="Q94" s="40">
        <f>Monatsabrechnung!E265*$D$4*(1+$D$6)</f>
        <v/>
      </c>
      <c r="R94" s="40">
        <f>Monatsabrechnung!F265*$D$4*(1+$D$6)</f>
        <v/>
      </c>
      <c r="S94" s="40">
        <f>Monatsabrechnung!G265*$D$4*(1+$D$6)</f>
        <v/>
      </c>
      <c r="T94" s="40">
        <f>Monatsabrechnung!H265*$D$4*(1+$D$6)</f>
        <v/>
      </c>
      <c r="U94" s="40">
        <f>Monatsabrechnung!I265*$D$4*(1+$D$6)</f>
        <v/>
      </c>
      <c r="V94" s="40">
        <f>Monatsabrechnung!J265*$D$4*(1+$D$6)</f>
        <v/>
      </c>
      <c r="W94" s="40">
        <f>Monatsabrechnung!K265*$D$4*(1+$D$6)</f>
        <v/>
      </c>
      <c r="X94" s="40">
        <f>Monatsabrechnung!L265*$D$4*(1+$D$6)</f>
        <v/>
      </c>
      <c r="Y94" s="40">
        <f>Monatsabrechnung!M265*$D$4*(1+$D$6)</f>
        <v/>
      </c>
      <c r="Z94" s="40">
        <f>Monatsabrechnung!N265*$D$4*(1+$D$6)</f>
        <v/>
      </c>
      <c r="AA94" s="40">
        <f>Monatsabrechnung!O265*$D$4*(1+$D$6)</f>
        <v/>
      </c>
      <c r="AB94" s="40">
        <f>Monatsabrechnung!P265*$D$4*(1+$D$6)</f>
        <v/>
      </c>
      <c r="AC94" s="28">
        <f>SUM(Q94:AB94)</f>
        <v/>
      </c>
      <c r="AD94" s="40">
        <f>Monatsabrechnung!E265*$D$5*(1+$D$6)</f>
        <v/>
      </c>
      <c r="AE94" s="40">
        <f>Monatsabrechnung!F265*$D$5*(1+$D$6)</f>
        <v/>
      </c>
      <c r="AF94" s="40">
        <f>Monatsabrechnung!G265*$D$5*(1+$D$6)</f>
        <v/>
      </c>
      <c r="AG94" s="40">
        <f>Monatsabrechnung!H265*$D$5*(1+$D$6)</f>
        <v/>
      </c>
      <c r="AH94" s="40">
        <f>Monatsabrechnung!I265*$D$5*(1+$D$6)</f>
        <v/>
      </c>
      <c r="AI94" s="40">
        <f>Monatsabrechnung!J265*$D$5*(1+$D$6)</f>
        <v/>
      </c>
      <c r="AJ94" s="40">
        <f>Monatsabrechnung!K265*$D$5*(1+$D$6)</f>
        <v/>
      </c>
      <c r="AK94" s="40">
        <f>Monatsabrechnung!L265*$D$5*(1+$D$6)</f>
        <v/>
      </c>
      <c r="AL94" s="40">
        <f>Monatsabrechnung!M265*$D$5*(1+$D$6)</f>
        <v/>
      </c>
      <c r="AM94" s="40">
        <f>Monatsabrechnung!N265*$D$5*(1+$D$6)</f>
        <v/>
      </c>
      <c r="AN94" s="40">
        <f>Monatsabrechnung!O265*$D$5*(1+$D$6)</f>
        <v/>
      </c>
      <c r="AO94" s="40">
        <f>Monatsabrechnung!P265*$D$5*(1+$D$6)</f>
        <v/>
      </c>
      <c r="AP94" s="28">
        <f>SUM(AD94:AO94)</f>
        <v/>
      </c>
      <c r="AQ94" s="59">
        <f>P94+AC94+AP94</f>
        <v/>
      </c>
    </row>
    <row r="95">
      <c r="A95" s="89">
        <f>Stammdaten!A95</f>
        <v/>
      </c>
      <c r="B95" s="67">
        <f>Stammdaten!B95</f>
        <v/>
      </c>
      <c r="C95" s="67">
        <f>Stammdaten!C95</f>
        <v/>
      </c>
      <c r="D95" s="40">
        <f>Monatsabrechnung!E268*$D$6</f>
        <v/>
      </c>
      <c r="E95" s="40">
        <f>Monatsabrechnung!F268*$D$6</f>
        <v/>
      </c>
      <c r="F95" s="40">
        <f>Monatsabrechnung!G268*$D$6</f>
        <v/>
      </c>
      <c r="G95" s="40">
        <f>Monatsabrechnung!H268*$D$6</f>
        <v/>
      </c>
      <c r="H95" s="40">
        <f>Monatsabrechnung!I268*$D$6</f>
        <v/>
      </c>
      <c r="I95" s="40">
        <f>Monatsabrechnung!J268*$D$6</f>
        <v/>
      </c>
      <c r="J95" s="40">
        <f>Monatsabrechnung!K268*$D$6</f>
        <v/>
      </c>
      <c r="K95" s="40">
        <f>Monatsabrechnung!L268*$D$6</f>
        <v/>
      </c>
      <c r="L95" s="40">
        <f>Monatsabrechnung!M268*$D$6</f>
        <v/>
      </c>
      <c r="M95" s="40">
        <f>Monatsabrechnung!N268*$D$6</f>
        <v/>
      </c>
      <c r="N95" s="40">
        <f>Monatsabrechnung!O268*$D$6</f>
        <v/>
      </c>
      <c r="O95" s="40">
        <f>Monatsabrechnung!P268*$D$6</f>
        <v/>
      </c>
      <c r="P95" s="28">
        <f>SUM(D95:O95)</f>
        <v/>
      </c>
      <c r="Q95" s="40">
        <f>Monatsabrechnung!E268*$D$4*(1+$D$6)</f>
        <v/>
      </c>
      <c r="R95" s="40">
        <f>Monatsabrechnung!F268*$D$4*(1+$D$6)</f>
        <v/>
      </c>
      <c r="S95" s="40">
        <f>Monatsabrechnung!G268*$D$4*(1+$D$6)</f>
        <v/>
      </c>
      <c r="T95" s="40">
        <f>Monatsabrechnung!H268*$D$4*(1+$D$6)</f>
        <v/>
      </c>
      <c r="U95" s="40">
        <f>Monatsabrechnung!I268*$D$4*(1+$D$6)</f>
        <v/>
      </c>
      <c r="V95" s="40">
        <f>Monatsabrechnung!J268*$D$4*(1+$D$6)</f>
        <v/>
      </c>
      <c r="W95" s="40">
        <f>Monatsabrechnung!K268*$D$4*(1+$D$6)</f>
        <v/>
      </c>
      <c r="X95" s="40">
        <f>Monatsabrechnung!L268*$D$4*(1+$D$6)</f>
        <v/>
      </c>
      <c r="Y95" s="40">
        <f>Monatsabrechnung!M268*$D$4*(1+$D$6)</f>
        <v/>
      </c>
      <c r="Z95" s="40">
        <f>Monatsabrechnung!N268*$D$4*(1+$D$6)</f>
        <v/>
      </c>
      <c r="AA95" s="40">
        <f>Monatsabrechnung!O268*$D$4*(1+$D$6)</f>
        <v/>
      </c>
      <c r="AB95" s="40">
        <f>Monatsabrechnung!P268*$D$4*(1+$D$6)</f>
        <v/>
      </c>
      <c r="AC95" s="28">
        <f>SUM(Q95:AB95)</f>
        <v/>
      </c>
      <c r="AD95" s="40">
        <f>Monatsabrechnung!E268*$D$5*(1+$D$6)</f>
        <v/>
      </c>
      <c r="AE95" s="40">
        <f>Monatsabrechnung!F268*$D$5*(1+$D$6)</f>
        <v/>
      </c>
      <c r="AF95" s="40">
        <f>Monatsabrechnung!G268*$D$5*(1+$D$6)</f>
        <v/>
      </c>
      <c r="AG95" s="40">
        <f>Monatsabrechnung!H268*$D$5*(1+$D$6)</f>
        <v/>
      </c>
      <c r="AH95" s="40">
        <f>Monatsabrechnung!I268*$D$5*(1+$D$6)</f>
        <v/>
      </c>
      <c r="AI95" s="40">
        <f>Monatsabrechnung!J268*$D$5*(1+$D$6)</f>
        <v/>
      </c>
      <c r="AJ95" s="40">
        <f>Monatsabrechnung!K268*$D$5*(1+$D$6)</f>
        <v/>
      </c>
      <c r="AK95" s="40">
        <f>Monatsabrechnung!L268*$D$5*(1+$D$6)</f>
        <v/>
      </c>
      <c r="AL95" s="40">
        <f>Monatsabrechnung!M268*$D$5*(1+$D$6)</f>
        <v/>
      </c>
      <c r="AM95" s="40">
        <f>Monatsabrechnung!N268*$D$5*(1+$D$6)</f>
        <v/>
      </c>
      <c r="AN95" s="40">
        <f>Monatsabrechnung!O268*$D$5*(1+$D$6)</f>
        <v/>
      </c>
      <c r="AO95" s="40">
        <f>Monatsabrechnung!P268*$D$5*(1+$D$6)</f>
        <v/>
      </c>
      <c r="AP95" s="28">
        <f>SUM(AD95:AO95)</f>
        <v/>
      </c>
      <c r="AQ95" s="59">
        <f>P95+AC95+AP95</f>
        <v/>
      </c>
    </row>
    <row r="96">
      <c r="A96" s="89">
        <f>Stammdaten!A96</f>
        <v/>
      </c>
      <c r="B96" s="67">
        <f>Stammdaten!B96</f>
        <v/>
      </c>
      <c r="C96" s="67">
        <f>Stammdaten!C96</f>
        <v/>
      </c>
      <c r="D96" s="40">
        <f>Monatsabrechnung!E271*$D$6</f>
        <v/>
      </c>
      <c r="E96" s="40">
        <f>Monatsabrechnung!F271*$D$6</f>
        <v/>
      </c>
      <c r="F96" s="40">
        <f>Monatsabrechnung!G271*$D$6</f>
        <v/>
      </c>
      <c r="G96" s="40">
        <f>Monatsabrechnung!H271*$D$6</f>
        <v/>
      </c>
      <c r="H96" s="40">
        <f>Monatsabrechnung!I271*$D$6</f>
        <v/>
      </c>
      <c r="I96" s="40">
        <f>Monatsabrechnung!J271*$D$6</f>
        <v/>
      </c>
      <c r="J96" s="40">
        <f>Monatsabrechnung!K271*$D$6</f>
        <v/>
      </c>
      <c r="K96" s="40">
        <f>Monatsabrechnung!L271*$D$6</f>
        <v/>
      </c>
      <c r="L96" s="40">
        <f>Monatsabrechnung!M271*$D$6</f>
        <v/>
      </c>
      <c r="M96" s="40">
        <f>Monatsabrechnung!N271*$D$6</f>
        <v/>
      </c>
      <c r="N96" s="40">
        <f>Monatsabrechnung!O271*$D$6</f>
        <v/>
      </c>
      <c r="O96" s="40">
        <f>Monatsabrechnung!P271*$D$6</f>
        <v/>
      </c>
      <c r="P96" s="28">
        <f>SUM(D96:O96)</f>
        <v/>
      </c>
      <c r="Q96" s="40">
        <f>Monatsabrechnung!E271*$D$4*(1+$D$6)</f>
        <v/>
      </c>
      <c r="R96" s="40">
        <f>Monatsabrechnung!F271*$D$4*(1+$D$6)</f>
        <v/>
      </c>
      <c r="S96" s="40">
        <f>Monatsabrechnung!G271*$D$4*(1+$D$6)</f>
        <v/>
      </c>
      <c r="T96" s="40">
        <f>Monatsabrechnung!H271*$D$4*(1+$D$6)</f>
        <v/>
      </c>
      <c r="U96" s="40">
        <f>Monatsabrechnung!I271*$D$4*(1+$D$6)</f>
        <v/>
      </c>
      <c r="V96" s="40">
        <f>Monatsabrechnung!J271*$D$4*(1+$D$6)</f>
        <v/>
      </c>
      <c r="W96" s="40">
        <f>Monatsabrechnung!K271*$D$4*(1+$D$6)</f>
        <v/>
      </c>
      <c r="X96" s="40">
        <f>Monatsabrechnung!L271*$D$4*(1+$D$6)</f>
        <v/>
      </c>
      <c r="Y96" s="40">
        <f>Monatsabrechnung!M271*$D$4*(1+$D$6)</f>
        <v/>
      </c>
      <c r="Z96" s="40">
        <f>Monatsabrechnung!N271*$D$4*(1+$D$6)</f>
        <v/>
      </c>
      <c r="AA96" s="40">
        <f>Monatsabrechnung!O271*$D$4*(1+$D$6)</f>
        <v/>
      </c>
      <c r="AB96" s="40">
        <f>Monatsabrechnung!P271*$D$4*(1+$D$6)</f>
        <v/>
      </c>
      <c r="AC96" s="28">
        <f>SUM(Q96:AB96)</f>
        <v/>
      </c>
      <c r="AD96" s="40">
        <f>Monatsabrechnung!E271*$D$5*(1+$D$6)</f>
        <v/>
      </c>
      <c r="AE96" s="40">
        <f>Monatsabrechnung!F271*$D$5*(1+$D$6)</f>
        <v/>
      </c>
      <c r="AF96" s="40">
        <f>Monatsabrechnung!G271*$D$5*(1+$D$6)</f>
        <v/>
      </c>
      <c r="AG96" s="40">
        <f>Monatsabrechnung!H271*$D$5*(1+$D$6)</f>
        <v/>
      </c>
      <c r="AH96" s="40">
        <f>Monatsabrechnung!I271*$D$5*(1+$D$6)</f>
        <v/>
      </c>
      <c r="AI96" s="40">
        <f>Monatsabrechnung!J271*$D$5*(1+$D$6)</f>
        <v/>
      </c>
      <c r="AJ96" s="40">
        <f>Monatsabrechnung!K271*$D$5*(1+$D$6)</f>
        <v/>
      </c>
      <c r="AK96" s="40">
        <f>Monatsabrechnung!L271*$D$5*(1+$D$6)</f>
        <v/>
      </c>
      <c r="AL96" s="40">
        <f>Monatsabrechnung!M271*$D$5*(1+$D$6)</f>
        <v/>
      </c>
      <c r="AM96" s="40">
        <f>Monatsabrechnung!N271*$D$5*(1+$D$6)</f>
        <v/>
      </c>
      <c r="AN96" s="40">
        <f>Monatsabrechnung!O271*$D$5*(1+$D$6)</f>
        <v/>
      </c>
      <c r="AO96" s="40">
        <f>Monatsabrechnung!P271*$D$5*(1+$D$6)</f>
        <v/>
      </c>
      <c r="AP96" s="28">
        <f>SUM(AD96:AO96)</f>
        <v/>
      </c>
      <c r="AQ96" s="59">
        <f>P96+AC96+AP96</f>
        <v/>
      </c>
    </row>
    <row r="97">
      <c r="A97" s="89">
        <f>Stammdaten!A97</f>
        <v/>
      </c>
      <c r="B97" s="67">
        <f>Stammdaten!B97</f>
        <v/>
      </c>
      <c r="C97" s="67">
        <f>Stammdaten!C97</f>
        <v/>
      </c>
      <c r="D97" s="40">
        <f>Monatsabrechnung!E274*$D$6</f>
        <v/>
      </c>
      <c r="E97" s="40">
        <f>Monatsabrechnung!F274*$D$6</f>
        <v/>
      </c>
      <c r="F97" s="40">
        <f>Monatsabrechnung!G274*$D$6</f>
        <v/>
      </c>
      <c r="G97" s="40">
        <f>Monatsabrechnung!H274*$D$6</f>
        <v/>
      </c>
      <c r="H97" s="40">
        <f>Monatsabrechnung!I274*$D$6</f>
        <v/>
      </c>
      <c r="I97" s="40">
        <f>Monatsabrechnung!J274*$D$6</f>
        <v/>
      </c>
      <c r="J97" s="40">
        <f>Monatsabrechnung!K274*$D$6</f>
        <v/>
      </c>
      <c r="K97" s="40">
        <f>Monatsabrechnung!L274*$D$6</f>
        <v/>
      </c>
      <c r="L97" s="40">
        <f>Monatsabrechnung!M274*$D$6</f>
        <v/>
      </c>
      <c r="M97" s="40">
        <f>Monatsabrechnung!N274*$D$6</f>
        <v/>
      </c>
      <c r="N97" s="40">
        <f>Monatsabrechnung!O274*$D$6</f>
        <v/>
      </c>
      <c r="O97" s="40">
        <f>Monatsabrechnung!P274*$D$6</f>
        <v/>
      </c>
      <c r="P97" s="28">
        <f>SUM(D97:O97)</f>
        <v/>
      </c>
      <c r="Q97" s="40">
        <f>Monatsabrechnung!E274*$D$4*(1+$D$6)</f>
        <v/>
      </c>
      <c r="R97" s="40">
        <f>Monatsabrechnung!F274*$D$4*(1+$D$6)</f>
        <v/>
      </c>
      <c r="S97" s="40">
        <f>Monatsabrechnung!G274*$D$4*(1+$D$6)</f>
        <v/>
      </c>
      <c r="T97" s="40">
        <f>Monatsabrechnung!H274*$D$4*(1+$D$6)</f>
        <v/>
      </c>
      <c r="U97" s="40">
        <f>Monatsabrechnung!I274*$D$4*(1+$D$6)</f>
        <v/>
      </c>
      <c r="V97" s="40">
        <f>Monatsabrechnung!J274*$D$4*(1+$D$6)</f>
        <v/>
      </c>
      <c r="W97" s="40">
        <f>Monatsabrechnung!K274*$D$4*(1+$D$6)</f>
        <v/>
      </c>
      <c r="X97" s="40">
        <f>Monatsabrechnung!L274*$D$4*(1+$D$6)</f>
        <v/>
      </c>
      <c r="Y97" s="40">
        <f>Monatsabrechnung!M274*$D$4*(1+$D$6)</f>
        <v/>
      </c>
      <c r="Z97" s="40">
        <f>Monatsabrechnung!N274*$D$4*(1+$D$6)</f>
        <v/>
      </c>
      <c r="AA97" s="40">
        <f>Monatsabrechnung!O274*$D$4*(1+$D$6)</f>
        <v/>
      </c>
      <c r="AB97" s="40">
        <f>Monatsabrechnung!P274*$D$4*(1+$D$6)</f>
        <v/>
      </c>
      <c r="AC97" s="28">
        <f>SUM(Q97:AB97)</f>
        <v/>
      </c>
      <c r="AD97" s="40">
        <f>Monatsabrechnung!E274*$D$5*(1+$D$6)</f>
        <v/>
      </c>
      <c r="AE97" s="40">
        <f>Monatsabrechnung!F274*$D$5*(1+$D$6)</f>
        <v/>
      </c>
      <c r="AF97" s="40">
        <f>Monatsabrechnung!G274*$D$5*(1+$D$6)</f>
        <v/>
      </c>
      <c r="AG97" s="40">
        <f>Monatsabrechnung!H274*$D$5*(1+$D$6)</f>
        <v/>
      </c>
      <c r="AH97" s="40">
        <f>Monatsabrechnung!I274*$D$5*(1+$D$6)</f>
        <v/>
      </c>
      <c r="AI97" s="40">
        <f>Monatsabrechnung!J274*$D$5*(1+$D$6)</f>
        <v/>
      </c>
      <c r="AJ97" s="40">
        <f>Monatsabrechnung!K274*$D$5*(1+$D$6)</f>
        <v/>
      </c>
      <c r="AK97" s="40">
        <f>Monatsabrechnung!L274*$D$5*(1+$D$6)</f>
        <v/>
      </c>
      <c r="AL97" s="40">
        <f>Monatsabrechnung!M274*$D$5*(1+$D$6)</f>
        <v/>
      </c>
      <c r="AM97" s="40">
        <f>Monatsabrechnung!N274*$D$5*(1+$D$6)</f>
        <v/>
      </c>
      <c r="AN97" s="40">
        <f>Monatsabrechnung!O274*$D$5*(1+$D$6)</f>
        <v/>
      </c>
      <c r="AO97" s="40">
        <f>Monatsabrechnung!P274*$D$5*(1+$D$6)</f>
        <v/>
      </c>
      <c r="AP97" s="28">
        <f>SUM(AD97:AO97)</f>
        <v/>
      </c>
      <c r="AQ97" s="59">
        <f>P97+AC97+AP97</f>
        <v/>
      </c>
    </row>
    <row r="98">
      <c r="A98" s="89">
        <f>Stammdaten!A98</f>
        <v/>
      </c>
      <c r="B98" s="67">
        <f>Stammdaten!B98</f>
        <v/>
      </c>
      <c r="C98" s="67">
        <f>Stammdaten!C98</f>
        <v/>
      </c>
      <c r="D98" s="40">
        <f>Monatsabrechnung!E277*$D$6</f>
        <v/>
      </c>
      <c r="E98" s="40">
        <f>Monatsabrechnung!F277*$D$6</f>
        <v/>
      </c>
      <c r="F98" s="40">
        <f>Monatsabrechnung!G277*$D$6</f>
        <v/>
      </c>
      <c r="G98" s="40">
        <f>Monatsabrechnung!H277*$D$6</f>
        <v/>
      </c>
      <c r="H98" s="40">
        <f>Monatsabrechnung!I277*$D$6</f>
        <v/>
      </c>
      <c r="I98" s="40">
        <f>Monatsabrechnung!J277*$D$6</f>
        <v/>
      </c>
      <c r="J98" s="40">
        <f>Monatsabrechnung!K277*$D$6</f>
        <v/>
      </c>
      <c r="K98" s="40">
        <f>Monatsabrechnung!L277*$D$6</f>
        <v/>
      </c>
      <c r="L98" s="40">
        <f>Monatsabrechnung!M277*$D$6</f>
        <v/>
      </c>
      <c r="M98" s="40">
        <f>Monatsabrechnung!N277*$D$6</f>
        <v/>
      </c>
      <c r="N98" s="40">
        <f>Monatsabrechnung!O277*$D$6</f>
        <v/>
      </c>
      <c r="O98" s="40">
        <f>Monatsabrechnung!P277*$D$6</f>
        <v/>
      </c>
      <c r="P98" s="28">
        <f>SUM(D98:O98)</f>
        <v/>
      </c>
      <c r="Q98" s="40">
        <f>Monatsabrechnung!E277*$D$4*(1+$D$6)</f>
        <v/>
      </c>
      <c r="R98" s="40">
        <f>Monatsabrechnung!F277*$D$4*(1+$D$6)</f>
        <v/>
      </c>
      <c r="S98" s="40">
        <f>Monatsabrechnung!G277*$D$4*(1+$D$6)</f>
        <v/>
      </c>
      <c r="T98" s="40">
        <f>Monatsabrechnung!H277*$D$4*(1+$D$6)</f>
        <v/>
      </c>
      <c r="U98" s="40">
        <f>Monatsabrechnung!I277*$D$4*(1+$D$6)</f>
        <v/>
      </c>
      <c r="V98" s="40">
        <f>Monatsabrechnung!J277*$D$4*(1+$D$6)</f>
        <v/>
      </c>
      <c r="W98" s="40">
        <f>Monatsabrechnung!K277*$D$4*(1+$D$6)</f>
        <v/>
      </c>
      <c r="X98" s="40">
        <f>Monatsabrechnung!L277*$D$4*(1+$D$6)</f>
        <v/>
      </c>
      <c r="Y98" s="40">
        <f>Monatsabrechnung!M277*$D$4*(1+$D$6)</f>
        <v/>
      </c>
      <c r="Z98" s="40">
        <f>Monatsabrechnung!N277*$D$4*(1+$D$6)</f>
        <v/>
      </c>
      <c r="AA98" s="40">
        <f>Monatsabrechnung!O277*$D$4*(1+$D$6)</f>
        <v/>
      </c>
      <c r="AB98" s="40">
        <f>Monatsabrechnung!P277*$D$4*(1+$D$6)</f>
        <v/>
      </c>
      <c r="AC98" s="28">
        <f>SUM(Q98:AB98)</f>
        <v/>
      </c>
      <c r="AD98" s="40">
        <f>Monatsabrechnung!E277*$D$5*(1+$D$6)</f>
        <v/>
      </c>
      <c r="AE98" s="40">
        <f>Monatsabrechnung!F277*$D$5*(1+$D$6)</f>
        <v/>
      </c>
      <c r="AF98" s="40">
        <f>Monatsabrechnung!G277*$D$5*(1+$D$6)</f>
        <v/>
      </c>
      <c r="AG98" s="40">
        <f>Monatsabrechnung!H277*$D$5*(1+$D$6)</f>
        <v/>
      </c>
      <c r="AH98" s="40">
        <f>Monatsabrechnung!I277*$D$5*(1+$D$6)</f>
        <v/>
      </c>
      <c r="AI98" s="40">
        <f>Monatsabrechnung!J277*$D$5*(1+$D$6)</f>
        <v/>
      </c>
      <c r="AJ98" s="40">
        <f>Monatsabrechnung!K277*$D$5*(1+$D$6)</f>
        <v/>
      </c>
      <c r="AK98" s="40">
        <f>Monatsabrechnung!L277*$D$5*(1+$D$6)</f>
        <v/>
      </c>
      <c r="AL98" s="40">
        <f>Monatsabrechnung!M277*$D$5*(1+$D$6)</f>
        <v/>
      </c>
      <c r="AM98" s="40">
        <f>Monatsabrechnung!N277*$D$5*(1+$D$6)</f>
        <v/>
      </c>
      <c r="AN98" s="40">
        <f>Monatsabrechnung!O277*$D$5*(1+$D$6)</f>
        <v/>
      </c>
      <c r="AO98" s="40">
        <f>Monatsabrechnung!P277*$D$5*(1+$D$6)</f>
        <v/>
      </c>
      <c r="AP98" s="28">
        <f>SUM(AD98:AO98)</f>
        <v/>
      </c>
      <c r="AQ98" s="59">
        <f>P98+AC98+AP98</f>
        <v/>
      </c>
    </row>
    <row r="99">
      <c r="A99" s="91">
        <f>Stammdaten!A99</f>
        <v/>
      </c>
      <c r="B99" s="73">
        <f>Stammdaten!B99</f>
        <v/>
      </c>
      <c r="C99" s="73">
        <f>Stammdaten!C99</f>
        <v/>
      </c>
      <c r="D99" s="40">
        <f>Monatsabrechnung!E280*$D$6</f>
        <v/>
      </c>
      <c r="E99" s="40">
        <f>Monatsabrechnung!F280*$D$6</f>
        <v/>
      </c>
      <c r="F99" s="40">
        <f>Monatsabrechnung!G280*$D$6</f>
        <v/>
      </c>
      <c r="G99" s="40">
        <f>Monatsabrechnung!H280*$D$6</f>
        <v/>
      </c>
      <c r="H99" s="40">
        <f>Monatsabrechnung!I280*$D$6</f>
        <v/>
      </c>
      <c r="I99" s="40">
        <f>Monatsabrechnung!J280*$D$6</f>
        <v/>
      </c>
      <c r="J99" s="40">
        <f>Monatsabrechnung!K280*$D$6</f>
        <v/>
      </c>
      <c r="K99" s="40">
        <f>Monatsabrechnung!L280*$D$6</f>
        <v/>
      </c>
      <c r="L99" s="40">
        <f>Monatsabrechnung!M280*$D$6</f>
        <v/>
      </c>
      <c r="M99" s="40">
        <f>Monatsabrechnung!N280*$D$6</f>
        <v/>
      </c>
      <c r="N99" s="40">
        <f>Monatsabrechnung!O280*$D$6</f>
        <v/>
      </c>
      <c r="O99" s="40">
        <f>Monatsabrechnung!P280*$D$6</f>
        <v/>
      </c>
      <c r="P99" s="28">
        <f>SUM(D99:O99)</f>
        <v/>
      </c>
      <c r="Q99" s="40">
        <f>Monatsabrechnung!E280*$D$4*(1+$D$6)</f>
        <v/>
      </c>
      <c r="R99" s="40">
        <f>Monatsabrechnung!F280*$D$4*(1+$D$6)</f>
        <v/>
      </c>
      <c r="S99" s="40">
        <f>Monatsabrechnung!G280*$D$4*(1+$D$6)</f>
        <v/>
      </c>
      <c r="T99" s="40">
        <f>Monatsabrechnung!H280*$D$4*(1+$D$6)</f>
        <v/>
      </c>
      <c r="U99" s="40">
        <f>Monatsabrechnung!I280*$D$4*(1+$D$6)</f>
        <v/>
      </c>
      <c r="V99" s="40">
        <f>Monatsabrechnung!J280*$D$4*(1+$D$6)</f>
        <v/>
      </c>
      <c r="W99" s="40">
        <f>Monatsabrechnung!K280*$D$4*(1+$D$6)</f>
        <v/>
      </c>
      <c r="X99" s="40">
        <f>Monatsabrechnung!L280*$D$4*(1+$D$6)</f>
        <v/>
      </c>
      <c r="Y99" s="40">
        <f>Monatsabrechnung!M280*$D$4*(1+$D$6)</f>
        <v/>
      </c>
      <c r="Z99" s="40">
        <f>Monatsabrechnung!N280*$D$4*(1+$D$6)</f>
        <v/>
      </c>
      <c r="AA99" s="40">
        <f>Monatsabrechnung!O280*$D$4*(1+$D$6)</f>
        <v/>
      </c>
      <c r="AB99" s="40">
        <f>Monatsabrechnung!P280*$D$4*(1+$D$6)</f>
        <v/>
      </c>
      <c r="AC99" s="28">
        <f>SUM(Q99:AB99)</f>
        <v/>
      </c>
      <c r="AD99" s="40">
        <f>Monatsabrechnung!E280*$D$5*(1+$D$6)</f>
        <v/>
      </c>
      <c r="AE99" s="40">
        <f>Monatsabrechnung!F280*$D$5*(1+$D$6)</f>
        <v/>
      </c>
      <c r="AF99" s="40">
        <f>Monatsabrechnung!G280*$D$5*(1+$D$6)</f>
        <v/>
      </c>
      <c r="AG99" s="40">
        <f>Monatsabrechnung!H280*$D$5*(1+$D$6)</f>
        <v/>
      </c>
      <c r="AH99" s="40">
        <f>Monatsabrechnung!I280*$D$5*(1+$D$6)</f>
        <v/>
      </c>
      <c r="AI99" s="40">
        <f>Monatsabrechnung!J280*$D$5*(1+$D$6)</f>
        <v/>
      </c>
      <c r="AJ99" s="40">
        <f>Monatsabrechnung!K280*$D$5*(1+$D$6)</f>
        <v/>
      </c>
      <c r="AK99" s="40">
        <f>Monatsabrechnung!L280*$D$5*(1+$D$6)</f>
        <v/>
      </c>
      <c r="AL99" s="40">
        <f>Monatsabrechnung!M280*$D$5*(1+$D$6)</f>
        <v/>
      </c>
      <c r="AM99" s="40">
        <f>Monatsabrechnung!N280*$D$5*(1+$D$6)</f>
        <v/>
      </c>
      <c r="AN99" s="40">
        <f>Monatsabrechnung!O280*$D$5*(1+$D$6)</f>
        <v/>
      </c>
      <c r="AO99" s="40">
        <f>Monatsabrechnung!P280*$D$5*(1+$D$6)</f>
        <v/>
      </c>
      <c r="AP99" s="28">
        <f>SUM(AD99:AO99)</f>
        <v/>
      </c>
      <c r="AQ99" s="59">
        <f>P99+AC99+AP99</f>
        <v/>
      </c>
    </row>
    <row r="100">
      <c r="A100" s="91">
        <f>Stammdaten!A100</f>
        <v/>
      </c>
      <c r="B100" s="73">
        <f>Stammdaten!B100</f>
        <v/>
      </c>
      <c r="C100" s="73">
        <f>Stammdaten!C100</f>
        <v/>
      </c>
      <c r="D100" s="40">
        <f>Monatsabrechnung!E283*$D$6</f>
        <v/>
      </c>
      <c r="E100" s="40">
        <f>Monatsabrechnung!F283*$D$6</f>
        <v/>
      </c>
      <c r="F100" s="40">
        <f>Monatsabrechnung!G283*$D$6</f>
        <v/>
      </c>
      <c r="G100" s="40">
        <f>Monatsabrechnung!H283*$D$6</f>
        <v/>
      </c>
      <c r="H100" s="40">
        <f>Monatsabrechnung!I283*$D$6</f>
        <v/>
      </c>
      <c r="I100" s="40">
        <f>Monatsabrechnung!J283*$D$6</f>
        <v/>
      </c>
      <c r="J100" s="40">
        <f>Monatsabrechnung!K283*$D$6</f>
        <v/>
      </c>
      <c r="K100" s="40">
        <f>Monatsabrechnung!L283*$D$6</f>
        <v/>
      </c>
      <c r="L100" s="40">
        <f>Monatsabrechnung!M283*$D$6</f>
        <v/>
      </c>
      <c r="M100" s="40">
        <f>Monatsabrechnung!N283*$D$6</f>
        <v/>
      </c>
      <c r="N100" s="40">
        <f>Monatsabrechnung!O283*$D$6</f>
        <v/>
      </c>
      <c r="O100" s="40">
        <f>Monatsabrechnung!P283*$D$6</f>
        <v/>
      </c>
      <c r="P100" s="28">
        <f>SUM(D100:O100)</f>
        <v/>
      </c>
      <c r="Q100" s="40">
        <f>Monatsabrechnung!E283*$D$4*(1+$D$6)</f>
        <v/>
      </c>
      <c r="R100" s="40">
        <f>Monatsabrechnung!F283*$D$4*(1+$D$6)</f>
        <v/>
      </c>
      <c r="S100" s="40">
        <f>Monatsabrechnung!G283*$D$4*(1+$D$6)</f>
        <v/>
      </c>
      <c r="T100" s="40">
        <f>Monatsabrechnung!H283*$D$4*(1+$D$6)</f>
        <v/>
      </c>
      <c r="U100" s="40">
        <f>Monatsabrechnung!I283*$D$4*(1+$D$6)</f>
        <v/>
      </c>
      <c r="V100" s="40">
        <f>Monatsabrechnung!J283*$D$4*(1+$D$6)</f>
        <v/>
      </c>
      <c r="W100" s="40">
        <f>Monatsabrechnung!K283*$D$4*(1+$D$6)</f>
        <v/>
      </c>
      <c r="X100" s="40">
        <f>Monatsabrechnung!L283*$D$4*(1+$D$6)</f>
        <v/>
      </c>
      <c r="Y100" s="40">
        <f>Monatsabrechnung!M283*$D$4*(1+$D$6)</f>
        <v/>
      </c>
      <c r="Z100" s="40">
        <f>Monatsabrechnung!N283*$D$4*(1+$D$6)</f>
        <v/>
      </c>
      <c r="AA100" s="40">
        <f>Monatsabrechnung!O283*$D$4*(1+$D$6)</f>
        <v/>
      </c>
      <c r="AB100" s="40">
        <f>Monatsabrechnung!P283*$D$4*(1+$D$6)</f>
        <v/>
      </c>
      <c r="AC100" s="28">
        <f>SUM(Q100:AB100)</f>
        <v/>
      </c>
      <c r="AD100" s="40">
        <f>Monatsabrechnung!E283*$D$5*(1+$D$6)</f>
        <v/>
      </c>
      <c r="AE100" s="40">
        <f>Monatsabrechnung!F283*$D$5*(1+$D$6)</f>
        <v/>
      </c>
      <c r="AF100" s="40">
        <f>Monatsabrechnung!G283*$D$5*(1+$D$6)</f>
        <v/>
      </c>
      <c r="AG100" s="40">
        <f>Monatsabrechnung!H283*$D$5*(1+$D$6)</f>
        <v/>
      </c>
      <c r="AH100" s="40">
        <f>Monatsabrechnung!I283*$D$5*(1+$D$6)</f>
        <v/>
      </c>
      <c r="AI100" s="40">
        <f>Monatsabrechnung!J283*$D$5*(1+$D$6)</f>
        <v/>
      </c>
      <c r="AJ100" s="40">
        <f>Monatsabrechnung!K283*$D$5*(1+$D$6)</f>
        <v/>
      </c>
      <c r="AK100" s="40">
        <f>Monatsabrechnung!L283*$D$5*(1+$D$6)</f>
        <v/>
      </c>
      <c r="AL100" s="40">
        <f>Monatsabrechnung!M283*$D$5*(1+$D$6)</f>
        <v/>
      </c>
      <c r="AM100" s="40">
        <f>Monatsabrechnung!N283*$D$5*(1+$D$6)</f>
        <v/>
      </c>
      <c r="AN100" s="40">
        <f>Monatsabrechnung!O283*$D$5*(1+$D$6)</f>
        <v/>
      </c>
      <c r="AO100" s="40">
        <f>Monatsabrechnung!P283*$D$5*(1+$D$6)</f>
        <v/>
      </c>
      <c r="AP100" s="28">
        <f>SUM(AD100:AO100)</f>
        <v/>
      </c>
      <c r="AQ100" s="59">
        <f>P100+AC100+AP100</f>
        <v/>
      </c>
    </row>
    <row r="101">
      <c r="A101" s="91">
        <f>Stammdaten!A101</f>
        <v/>
      </c>
      <c r="B101" s="73">
        <f>Stammdaten!B101</f>
        <v/>
      </c>
      <c r="C101" s="73">
        <f>Stammdaten!C101</f>
        <v/>
      </c>
      <c r="D101" s="40">
        <f>Monatsabrechnung!E286*$D$6</f>
        <v/>
      </c>
      <c r="E101" s="40">
        <f>Monatsabrechnung!F286*$D$6</f>
        <v/>
      </c>
      <c r="F101" s="40">
        <f>Monatsabrechnung!G286*$D$6</f>
        <v/>
      </c>
      <c r="G101" s="40">
        <f>Monatsabrechnung!H286*$D$6</f>
        <v/>
      </c>
      <c r="H101" s="40">
        <f>Monatsabrechnung!I286*$D$6</f>
        <v/>
      </c>
      <c r="I101" s="40">
        <f>Monatsabrechnung!J286*$D$6</f>
        <v/>
      </c>
      <c r="J101" s="40">
        <f>Monatsabrechnung!K286*$D$6</f>
        <v/>
      </c>
      <c r="K101" s="40">
        <f>Monatsabrechnung!L286*$D$6</f>
        <v/>
      </c>
      <c r="L101" s="40">
        <f>Monatsabrechnung!M286*$D$6</f>
        <v/>
      </c>
      <c r="M101" s="40">
        <f>Monatsabrechnung!N286*$D$6</f>
        <v/>
      </c>
      <c r="N101" s="40">
        <f>Monatsabrechnung!O286*$D$6</f>
        <v/>
      </c>
      <c r="O101" s="40">
        <f>Monatsabrechnung!P286*$D$6</f>
        <v/>
      </c>
      <c r="P101" s="28">
        <f>SUM(D101:O101)</f>
        <v/>
      </c>
      <c r="Q101" s="40">
        <f>Monatsabrechnung!E286*$D$4*(1+$D$6)</f>
        <v/>
      </c>
      <c r="R101" s="40">
        <f>Monatsabrechnung!F286*$D$4*(1+$D$6)</f>
        <v/>
      </c>
      <c r="S101" s="40">
        <f>Monatsabrechnung!G286*$D$4*(1+$D$6)</f>
        <v/>
      </c>
      <c r="T101" s="40">
        <f>Monatsabrechnung!H286*$D$4*(1+$D$6)</f>
        <v/>
      </c>
      <c r="U101" s="40">
        <f>Monatsabrechnung!I286*$D$4*(1+$D$6)</f>
        <v/>
      </c>
      <c r="V101" s="40">
        <f>Monatsabrechnung!J286*$D$4*(1+$D$6)</f>
        <v/>
      </c>
      <c r="W101" s="40">
        <f>Monatsabrechnung!K286*$D$4*(1+$D$6)</f>
        <v/>
      </c>
      <c r="X101" s="40">
        <f>Monatsabrechnung!L286*$D$4*(1+$D$6)</f>
        <v/>
      </c>
      <c r="Y101" s="40">
        <f>Monatsabrechnung!M286*$D$4*(1+$D$6)</f>
        <v/>
      </c>
      <c r="Z101" s="40">
        <f>Monatsabrechnung!N286*$D$4*(1+$D$6)</f>
        <v/>
      </c>
      <c r="AA101" s="40">
        <f>Monatsabrechnung!O286*$D$4*(1+$D$6)</f>
        <v/>
      </c>
      <c r="AB101" s="40">
        <f>Monatsabrechnung!P286*$D$4*(1+$D$6)</f>
        <v/>
      </c>
      <c r="AC101" s="28">
        <f>SUM(Q101:AB101)</f>
        <v/>
      </c>
      <c r="AD101" s="40">
        <f>Monatsabrechnung!E286*$D$5*(1+$D$6)</f>
        <v/>
      </c>
      <c r="AE101" s="40">
        <f>Monatsabrechnung!F286*$D$5*(1+$D$6)</f>
        <v/>
      </c>
      <c r="AF101" s="40">
        <f>Monatsabrechnung!G286*$D$5*(1+$D$6)</f>
        <v/>
      </c>
      <c r="AG101" s="40">
        <f>Monatsabrechnung!H286*$D$5*(1+$D$6)</f>
        <v/>
      </c>
      <c r="AH101" s="40">
        <f>Monatsabrechnung!I286*$D$5*(1+$D$6)</f>
        <v/>
      </c>
      <c r="AI101" s="40">
        <f>Monatsabrechnung!J286*$D$5*(1+$D$6)</f>
        <v/>
      </c>
      <c r="AJ101" s="40">
        <f>Monatsabrechnung!K286*$D$5*(1+$D$6)</f>
        <v/>
      </c>
      <c r="AK101" s="40">
        <f>Monatsabrechnung!L286*$D$5*(1+$D$6)</f>
        <v/>
      </c>
      <c r="AL101" s="40">
        <f>Monatsabrechnung!M286*$D$5*(1+$D$6)</f>
        <v/>
      </c>
      <c r="AM101" s="40">
        <f>Monatsabrechnung!N286*$D$5*(1+$D$6)</f>
        <v/>
      </c>
      <c r="AN101" s="40">
        <f>Monatsabrechnung!O286*$D$5*(1+$D$6)</f>
        <v/>
      </c>
      <c r="AO101" s="40">
        <f>Monatsabrechnung!P286*$D$5*(1+$D$6)</f>
        <v/>
      </c>
      <c r="AP101" s="28">
        <f>SUM(AD101:AO101)</f>
        <v/>
      </c>
      <c r="AQ101" s="59">
        <f>P101+AC101+AP101</f>
        <v/>
      </c>
    </row>
    <row r="102">
      <c r="A102" s="91">
        <f>Stammdaten!A102</f>
        <v/>
      </c>
      <c r="B102" s="73">
        <f>Stammdaten!B102</f>
        <v/>
      </c>
      <c r="C102" s="73">
        <f>Stammdaten!C102</f>
        <v/>
      </c>
      <c r="D102" s="40">
        <f>Monatsabrechnung!E289*$D$6</f>
        <v/>
      </c>
      <c r="E102" s="40">
        <f>Monatsabrechnung!F289*$D$6</f>
        <v/>
      </c>
      <c r="F102" s="40">
        <f>Monatsabrechnung!G289*$D$6</f>
        <v/>
      </c>
      <c r="G102" s="40">
        <f>Monatsabrechnung!H289*$D$6</f>
        <v/>
      </c>
      <c r="H102" s="40">
        <f>Monatsabrechnung!I289*$D$6</f>
        <v/>
      </c>
      <c r="I102" s="40">
        <f>Monatsabrechnung!J289*$D$6</f>
        <v/>
      </c>
      <c r="J102" s="40">
        <f>Monatsabrechnung!K289*$D$6</f>
        <v/>
      </c>
      <c r="K102" s="40">
        <f>Monatsabrechnung!L289*$D$6</f>
        <v/>
      </c>
      <c r="L102" s="40">
        <f>Monatsabrechnung!M289*$D$6</f>
        <v/>
      </c>
      <c r="M102" s="40">
        <f>Monatsabrechnung!N289*$D$6</f>
        <v/>
      </c>
      <c r="N102" s="40">
        <f>Monatsabrechnung!O289*$D$6</f>
        <v/>
      </c>
      <c r="O102" s="40">
        <f>Monatsabrechnung!P289*$D$6</f>
        <v/>
      </c>
      <c r="P102" s="28">
        <f>SUM(D102:O102)</f>
        <v/>
      </c>
      <c r="Q102" s="40">
        <f>Monatsabrechnung!E289*$D$4*(1+$D$6)</f>
        <v/>
      </c>
      <c r="R102" s="40">
        <f>Monatsabrechnung!F289*$D$4*(1+$D$6)</f>
        <v/>
      </c>
      <c r="S102" s="40">
        <f>Monatsabrechnung!G289*$D$4*(1+$D$6)</f>
        <v/>
      </c>
      <c r="T102" s="40">
        <f>Monatsabrechnung!H289*$D$4*(1+$D$6)</f>
        <v/>
      </c>
      <c r="U102" s="40">
        <f>Monatsabrechnung!I289*$D$4*(1+$D$6)</f>
        <v/>
      </c>
      <c r="V102" s="40">
        <f>Monatsabrechnung!J289*$D$4*(1+$D$6)</f>
        <v/>
      </c>
      <c r="W102" s="40">
        <f>Monatsabrechnung!K289*$D$4*(1+$D$6)</f>
        <v/>
      </c>
      <c r="X102" s="40">
        <f>Monatsabrechnung!L289*$D$4*(1+$D$6)</f>
        <v/>
      </c>
      <c r="Y102" s="40">
        <f>Monatsabrechnung!M289*$D$4*(1+$D$6)</f>
        <v/>
      </c>
      <c r="Z102" s="40">
        <f>Monatsabrechnung!N289*$D$4*(1+$D$6)</f>
        <v/>
      </c>
      <c r="AA102" s="40">
        <f>Monatsabrechnung!O289*$D$4*(1+$D$6)</f>
        <v/>
      </c>
      <c r="AB102" s="40">
        <f>Monatsabrechnung!P289*$D$4*(1+$D$6)</f>
        <v/>
      </c>
      <c r="AC102" s="28">
        <f>SUM(Q102:AB102)</f>
        <v/>
      </c>
      <c r="AD102" s="40">
        <f>Monatsabrechnung!E289*$D$5*(1+$D$6)</f>
        <v/>
      </c>
      <c r="AE102" s="40">
        <f>Monatsabrechnung!F289*$D$5*(1+$D$6)</f>
        <v/>
      </c>
      <c r="AF102" s="40">
        <f>Monatsabrechnung!G289*$D$5*(1+$D$6)</f>
        <v/>
      </c>
      <c r="AG102" s="40">
        <f>Monatsabrechnung!H289*$D$5*(1+$D$6)</f>
        <v/>
      </c>
      <c r="AH102" s="40">
        <f>Monatsabrechnung!I289*$D$5*(1+$D$6)</f>
        <v/>
      </c>
      <c r="AI102" s="40">
        <f>Monatsabrechnung!J289*$D$5*(1+$D$6)</f>
        <v/>
      </c>
      <c r="AJ102" s="40">
        <f>Monatsabrechnung!K289*$D$5*(1+$D$6)</f>
        <v/>
      </c>
      <c r="AK102" s="40">
        <f>Monatsabrechnung!L289*$D$5*(1+$D$6)</f>
        <v/>
      </c>
      <c r="AL102" s="40">
        <f>Monatsabrechnung!M289*$D$5*(1+$D$6)</f>
        <v/>
      </c>
      <c r="AM102" s="40">
        <f>Monatsabrechnung!N289*$D$5*(1+$D$6)</f>
        <v/>
      </c>
      <c r="AN102" s="40">
        <f>Monatsabrechnung!O289*$D$5*(1+$D$6)</f>
        <v/>
      </c>
      <c r="AO102" s="40">
        <f>Monatsabrechnung!P289*$D$5*(1+$D$6)</f>
        <v/>
      </c>
      <c r="AP102" s="28">
        <f>SUM(AD102:AO102)</f>
        <v/>
      </c>
      <c r="AQ102" s="59">
        <f>P102+AC102+AP102</f>
        <v/>
      </c>
    </row>
    <row r="103">
      <c r="A103" s="91">
        <f>Stammdaten!A103</f>
        <v/>
      </c>
      <c r="B103" s="73">
        <f>Stammdaten!B103</f>
        <v/>
      </c>
      <c r="C103" s="73">
        <f>Stammdaten!C103</f>
        <v/>
      </c>
      <c r="D103" s="40">
        <f>Monatsabrechnung!E292*$D$6</f>
        <v/>
      </c>
      <c r="E103" s="40">
        <f>Monatsabrechnung!F292*$D$6</f>
        <v/>
      </c>
      <c r="F103" s="40">
        <f>Monatsabrechnung!G292*$D$6</f>
        <v/>
      </c>
      <c r="G103" s="40">
        <f>Monatsabrechnung!H292*$D$6</f>
        <v/>
      </c>
      <c r="H103" s="40">
        <f>Monatsabrechnung!I292*$D$6</f>
        <v/>
      </c>
      <c r="I103" s="40">
        <f>Monatsabrechnung!J292*$D$6</f>
        <v/>
      </c>
      <c r="J103" s="40">
        <f>Monatsabrechnung!K292*$D$6</f>
        <v/>
      </c>
      <c r="K103" s="40">
        <f>Monatsabrechnung!L292*$D$6</f>
        <v/>
      </c>
      <c r="L103" s="40">
        <f>Monatsabrechnung!M292*$D$6</f>
        <v/>
      </c>
      <c r="M103" s="40">
        <f>Monatsabrechnung!N292*$D$6</f>
        <v/>
      </c>
      <c r="N103" s="40">
        <f>Monatsabrechnung!O292*$D$6</f>
        <v/>
      </c>
      <c r="O103" s="40">
        <f>Monatsabrechnung!P292*$D$6</f>
        <v/>
      </c>
      <c r="P103" s="28">
        <f>SUM(D103:O103)</f>
        <v/>
      </c>
      <c r="Q103" s="40">
        <f>Monatsabrechnung!E292*$D$4*(1+$D$6)</f>
        <v/>
      </c>
      <c r="R103" s="40">
        <f>Monatsabrechnung!F292*$D$4*(1+$D$6)</f>
        <v/>
      </c>
      <c r="S103" s="40">
        <f>Monatsabrechnung!G292*$D$4*(1+$D$6)</f>
        <v/>
      </c>
      <c r="T103" s="40">
        <f>Monatsabrechnung!H292*$D$4*(1+$D$6)</f>
        <v/>
      </c>
      <c r="U103" s="40">
        <f>Monatsabrechnung!I292*$D$4*(1+$D$6)</f>
        <v/>
      </c>
      <c r="V103" s="40">
        <f>Monatsabrechnung!J292*$D$4*(1+$D$6)</f>
        <v/>
      </c>
      <c r="W103" s="40">
        <f>Monatsabrechnung!K292*$D$4*(1+$D$6)</f>
        <v/>
      </c>
      <c r="X103" s="40">
        <f>Monatsabrechnung!L292*$D$4*(1+$D$6)</f>
        <v/>
      </c>
      <c r="Y103" s="40">
        <f>Monatsabrechnung!M292*$D$4*(1+$D$6)</f>
        <v/>
      </c>
      <c r="Z103" s="40">
        <f>Monatsabrechnung!N292*$D$4*(1+$D$6)</f>
        <v/>
      </c>
      <c r="AA103" s="40">
        <f>Monatsabrechnung!O292*$D$4*(1+$D$6)</f>
        <v/>
      </c>
      <c r="AB103" s="40">
        <f>Monatsabrechnung!P292*$D$4*(1+$D$6)</f>
        <v/>
      </c>
      <c r="AC103" s="28">
        <f>SUM(Q103:AB103)</f>
        <v/>
      </c>
      <c r="AD103" s="40">
        <f>Monatsabrechnung!E292*$D$5*(1+$D$6)</f>
        <v/>
      </c>
      <c r="AE103" s="40">
        <f>Monatsabrechnung!F292*$D$5*(1+$D$6)</f>
        <v/>
      </c>
      <c r="AF103" s="40">
        <f>Monatsabrechnung!G292*$D$5*(1+$D$6)</f>
        <v/>
      </c>
      <c r="AG103" s="40">
        <f>Monatsabrechnung!H292*$D$5*(1+$D$6)</f>
        <v/>
      </c>
      <c r="AH103" s="40">
        <f>Monatsabrechnung!I292*$D$5*(1+$D$6)</f>
        <v/>
      </c>
      <c r="AI103" s="40">
        <f>Monatsabrechnung!J292*$D$5*(1+$D$6)</f>
        <v/>
      </c>
      <c r="AJ103" s="40">
        <f>Monatsabrechnung!K292*$D$5*(1+$D$6)</f>
        <v/>
      </c>
      <c r="AK103" s="40">
        <f>Monatsabrechnung!L292*$D$5*(1+$D$6)</f>
        <v/>
      </c>
      <c r="AL103" s="40">
        <f>Monatsabrechnung!M292*$D$5*(1+$D$6)</f>
        <v/>
      </c>
      <c r="AM103" s="40">
        <f>Monatsabrechnung!N292*$D$5*(1+$D$6)</f>
        <v/>
      </c>
      <c r="AN103" s="40">
        <f>Monatsabrechnung!O292*$D$5*(1+$D$6)</f>
        <v/>
      </c>
      <c r="AO103" s="40">
        <f>Monatsabrechnung!P292*$D$5*(1+$D$6)</f>
        <v/>
      </c>
      <c r="AP103" s="28">
        <f>SUM(AD103:AO103)</f>
        <v/>
      </c>
      <c r="AQ103" s="59">
        <f>P103+AC103+AP103</f>
        <v/>
      </c>
    </row>
    <row r="104">
      <c r="A104" s="91">
        <f>Stammdaten!A104</f>
        <v/>
      </c>
      <c r="B104" s="73">
        <f>Stammdaten!B104</f>
        <v/>
      </c>
      <c r="C104" s="73">
        <f>Stammdaten!C104</f>
        <v/>
      </c>
      <c r="D104" s="40">
        <f>Monatsabrechnung!E295*$D$6</f>
        <v/>
      </c>
      <c r="E104" s="40">
        <f>Monatsabrechnung!F295*$D$6</f>
        <v/>
      </c>
      <c r="F104" s="40">
        <f>Monatsabrechnung!G295*$D$6</f>
        <v/>
      </c>
      <c r="G104" s="40">
        <f>Monatsabrechnung!H295*$D$6</f>
        <v/>
      </c>
      <c r="H104" s="40">
        <f>Monatsabrechnung!I295*$D$6</f>
        <v/>
      </c>
      <c r="I104" s="40">
        <f>Monatsabrechnung!J295*$D$6</f>
        <v/>
      </c>
      <c r="J104" s="40">
        <f>Monatsabrechnung!K295*$D$6</f>
        <v/>
      </c>
      <c r="K104" s="40">
        <f>Monatsabrechnung!L295*$D$6</f>
        <v/>
      </c>
      <c r="L104" s="40">
        <f>Monatsabrechnung!M295*$D$6</f>
        <v/>
      </c>
      <c r="M104" s="40">
        <f>Monatsabrechnung!N295*$D$6</f>
        <v/>
      </c>
      <c r="N104" s="40">
        <f>Monatsabrechnung!O295*$D$6</f>
        <v/>
      </c>
      <c r="O104" s="40">
        <f>Monatsabrechnung!P295*$D$6</f>
        <v/>
      </c>
      <c r="P104" s="28">
        <f>SUM(D104:O104)</f>
        <v/>
      </c>
      <c r="Q104" s="40">
        <f>Monatsabrechnung!E295*$D$4*(1+$D$6)</f>
        <v/>
      </c>
      <c r="R104" s="40">
        <f>Monatsabrechnung!F295*$D$4*(1+$D$6)</f>
        <v/>
      </c>
      <c r="S104" s="40">
        <f>Monatsabrechnung!G295*$D$4*(1+$D$6)</f>
        <v/>
      </c>
      <c r="T104" s="40">
        <f>Monatsabrechnung!H295*$D$4*(1+$D$6)</f>
        <v/>
      </c>
      <c r="U104" s="40">
        <f>Monatsabrechnung!I295*$D$4*(1+$D$6)</f>
        <v/>
      </c>
      <c r="V104" s="40">
        <f>Monatsabrechnung!J295*$D$4*(1+$D$6)</f>
        <v/>
      </c>
      <c r="W104" s="40">
        <f>Monatsabrechnung!K295*$D$4*(1+$D$6)</f>
        <v/>
      </c>
      <c r="X104" s="40">
        <f>Monatsabrechnung!L295*$D$4*(1+$D$6)</f>
        <v/>
      </c>
      <c r="Y104" s="40">
        <f>Monatsabrechnung!M295*$D$4*(1+$D$6)</f>
        <v/>
      </c>
      <c r="Z104" s="40">
        <f>Monatsabrechnung!N295*$D$4*(1+$D$6)</f>
        <v/>
      </c>
      <c r="AA104" s="40">
        <f>Monatsabrechnung!O295*$D$4*(1+$D$6)</f>
        <v/>
      </c>
      <c r="AB104" s="40">
        <f>Monatsabrechnung!P295*$D$4*(1+$D$6)</f>
        <v/>
      </c>
      <c r="AC104" s="28">
        <f>SUM(Q104:AB104)</f>
        <v/>
      </c>
      <c r="AD104" s="40">
        <f>Monatsabrechnung!E295*$D$5*(1+$D$6)</f>
        <v/>
      </c>
      <c r="AE104" s="40">
        <f>Monatsabrechnung!F295*$D$5*(1+$D$6)</f>
        <v/>
      </c>
      <c r="AF104" s="40">
        <f>Monatsabrechnung!G295*$D$5*(1+$D$6)</f>
        <v/>
      </c>
      <c r="AG104" s="40">
        <f>Monatsabrechnung!H295*$D$5*(1+$D$6)</f>
        <v/>
      </c>
      <c r="AH104" s="40">
        <f>Monatsabrechnung!I295*$D$5*(1+$D$6)</f>
        <v/>
      </c>
      <c r="AI104" s="40">
        <f>Monatsabrechnung!J295*$D$5*(1+$D$6)</f>
        <v/>
      </c>
      <c r="AJ104" s="40">
        <f>Monatsabrechnung!K295*$D$5*(1+$D$6)</f>
        <v/>
      </c>
      <c r="AK104" s="40">
        <f>Monatsabrechnung!L295*$D$5*(1+$D$6)</f>
        <v/>
      </c>
      <c r="AL104" s="40">
        <f>Monatsabrechnung!M295*$D$5*(1+$D$6)</f>
        <v/>
      </c>
      <c r="AM104" s="40">
        <f>Monatsabrechnung!N295*$D$5*(1+$D$6)</f>
        <v/>
      </c>
      <c r="AN104" s="40">
        <f>Monatsabrechnung!O295*$D$5*(1+$D$6)</f>
        <v/>
      </c>
      <c r="AO104" s="40">
        <f>Monatsabrechnung!P295*$D$5*(1+$D$6)</f>
        <v/>
      </c>
      <c r="AP104" s="28">
        <f>SUM(AD104:AO104)</f>
        <v/>
      </c>
      <c r="AQ104" s="59">
        <f>P104+AC104+AP104</f>
        <v/>
      </c>
    </row>
    <row r="105">
      <c r="A105" s="91">
        <f>Stammdaten!A105</f>
        <v/>
      </c>
      <c r="B105" s="73">
        <f>Stammdaten!B105</f>
        <v/>
      </c>
      <c r="C105" s="73">
        <f>Stammdaten!C105</f>
        <v/>
      </c>
      <c r="D105" s="40">
        <f>Monatsabrechnung!E298*$D$6</f>
        <v/>
      </c>
      <c r="E105" s="40">
        <f>Monatsabrechnung!F298*$D$6</f>
        <v/>
      </c>
      <c r="F105" s="40">
        <f>Monatsabrechnung!G298*$D$6</f>
        <v/>
      </c>
      <c r="G105" s="40">
        <f>Monatsabrechnung!H298*$D$6</f>
        <v/>
      </c>
      <c r="H105" s="40">
        <f>Monatsabrechnung!I298*$D$6</f>
        <v/>
      </c>
      <c r="I105" s="40">
        <f>Monatsabrechnung!J298*$D$6</f>
        <v/>
      </c>
      <c r="J105" s="40">
        <f>Monatsabrechnung!K298*$D$6</f>
        <v/>
      </c>
      <c r="K105" s="40">
        <f>Monatsabrechnung!L298*$D$6</f>
        <v/>
      </c>
      <c r="L105" s="40">
        <f>Monatsabrechnung!M298*$D$6</f>
        <v/>
      </c>
      <c r="M105" s="40">
        <f>Monatsabrechnung!N298*$D$6</f>
        <v/>
      </c>
      <c r="N105" s="40">
        <f>Monatsabrechnung!O298*$D$6</f>
        <v/>
      </c>
      <c r="O105" s="40">
        <f>Monatsabrechnung!P298*$D$6</f>
        <v/>
      </c>
      <c r="P105" s="28">
        <f>SUM(D105:O105)</f>
        <v/>
      </c>
      <c r="Q105" s="40">
        <f>Monatsabrechnung!E298*$D$4*(1+$D$6)</f>
        <v/>
      </c>
      <c r="R105" s="40">
        <f>Monatsabrechnung!F298*$D$4*(1+$D$6)</f>
        <v/>
      </c>
      <c r="S105" s="40">
        <f>Monatsabrechnung!G298*$D$4*(1+$D$6)</f>
        <v/>
      </c>
      <c r="T105" s="40">
        <f>Monatsabrechnung!H298*$D$4*(1+$D$6)</f>
        <v/>
      </c>
      <c r="U105" s="40">
        <f>Monatsabrechnung!I298*$D$4*(1+$D$6)</f>
        <v/>
      </c>
      <c r="V105" s="40">
        <f>Monatsabrechnung!J298*$D$4*(1+$D$6)</f>
        <v/>
      </c>
      <c r="W105" s="40">
        <f>Monatsabrechnung!K298*$D$4*(1+$D$6)</f>
        <v/>
      </c>
      <c r="X105" s="40">
        <f>Monatsabrechnung!L298*$D$4*(1+$D$6)</f>
        <v/>
      </c>
      <c r="Y105" s="40">
        <f>Monatsabrechnung!M298*$D$4*(1+$D$6)</f>
        <v/>
      </c>
      <c r="Z105" s="40">
        <f>Monatsabrechnung!N298*$D$4*(1+$D$6)</f>
        <v/>
      </c>
      <c r="AA105" s="40">
        <f>Monatsabrechnung!O298*$D$4*(1+$D$6)</f>
        <v/>
      </c>
      <c r="AB105" s="40">
        <f>Monatsabrechnung!P298*$D$4*(1+$D$6)</f>
        <v/>
      </c>
      <c r="AC105" s="28">
        <f>SUM(Q105:AB105)</f>
        <v/>
      </c>
      <c r="AD105" s="40">
        <f>Monatsabrechnung!E298*$D$5*(1+$D$6)</f>
        <v/>
      </c>
      <c r="AE105" s="40">
        <f>Monatsabrechnung!F298*$D$5*(1+$D$6)</f>
        <v/>
      </c>
      <c r="AF105" s="40">
        <f>Monatsabrechnung!G298*$D$5*(1+$D$6)</f>
        <v/>
      </c>
      <c r="AG105" s="40">
        <f>Monatsabrechnung!H298*$D$5*(1+$D$6)</f>
        <v/>
      </c>
      <c r="AH105" s="40">
        <f>Monatsabrechnung!I298*$D$5*(1+$D$6)</f>
        <v/>
      </c>
      <c r="AI105" s="40">
        <f>Monatsabrechnung!J298*$D$5*(1+$D$6)</f>
        <v/>
      </c>
      <c r="AJ105" s="40">
        <f>Monatsabrechnung!K298*$D$5*(1+$D$6)</f>
        <v/>
      </c>
      <c r="AK105" s="40">
        <f>Monatsabrechnung!L298*$D$5*(1+$D$6)</f>
        <v/>
      </c>
      <c r="AL105" s="40">
        <f>Monatsabrechnung!M298*$D$5*(1+$D$6)</f>
        <v/>
      </c>
      <c r="AM105" s="40">
        <f>Monatsabrechnung!N298*$D$5*(1+$D$6)</f>
        <v/>
      </c>
      <c r="AN105" s="40">
        <f>Monatsabrechnung!O298*$D$5*(1+$D$6)</f>
        <v/>
      </c>
      <c r="AO105" s="40">
        <f>Monatsabrechnung!P298*$D$5*(1+$D$6)</f>
        <v/>
      </c>
      <c r="AP105" s="28">
        <f>SUM(AD105:AO105)</f>
        <v/>
      </c>
      <c r="AQ105" s="59">
        <f>P105+AC105+AP105</f>
        <v/>
      </c>
    </row>
    <row r="106">
      <c r="A106" s="91">
        <f>Stammdaten!A106</f>
        <v/>
      </c>
      <c r="B106" s="73">
        <f>Stammdaten!B106</f>
        <v/>
      </c>
      <c r="C106" s="73">
        <f>Stammdaten!C106</f>
        <v/>
      </c>
      <c r="D106" s="40">
        <f>Monatsabrechnung!E301*$D$6</f>
        <v/>
      </c>
      <c r="E106" s="40">
        <f>Monatsabrechnung!F301*$D$6</f>
        <v/>
      </c>
      <c r="F106" s="40">
        <f>Monatsabrechnung!G301*$D$6</f>
        <v/>
      </c>
      <c r="G106" s="40">
        <f>Monatsabrechnung!H301*$D$6</f>
        <v/>
      </c>
      <c r="H106" s="40">
        <f>Monatsabrechnung!I301*$D$6</f>
        <v/>
      </c>
      <c r="I106" s="40">
        <f>Monatsabrechnung!J301*$D$6</f>
        <v/>
      </c>
      <c r="J106" s="40">
        <f>Monatsabrechnung!K301*$D$6</f>
        <v/>
      </c>
      <c r="K106" s="40">
        <f>Monatsabrechnung!L301*$D$6</f>
        <v/>
      </c>
      <c r="L106" s="40">
        <f>Monatsabrechnung!M301*$D$6</f>
        <v/>
      </c>
      <c r="M106" s="40">
        <f>Monatsabrechnung!N301*$D$6</f>
        <v/>
      </c>
      <c r="N106" s="40">
        <f>Monatsabrechnung!O301*$D$6</f>
        <v/>
      </c>
      <c r="O106" s="40">
        <f>Monatsabrechnung!P301*$D$6</f>
        <v/>
      </c>
      <c r="P106" s="28">
        <f>SUM(D106:O106)</f>
        <v/>
      </c>
      <c r="Q106" s="40">
        <f>Monatsabrechnung!E301*$D$4*(1+$D$6)</f>
        <v/>
      </c>
      <c r="R106" s="40">
        <f>Monatsabrechnung!F301*$D$4*(1+$D$6)</f>
        <v/>
      </c>
      <c r="S106" s="40">
        <f>Monatsabrechnung!G301*$D$4*(1+$D$6)</f>
        <v/>
      </c>
      <c r="T106" s="40">
        <f>Monatsabrechnung!H301*$D$4*(1+$D$6)</f>
        <v/>
      </c>
      <c r="U106" s="40">
        <f>Monatsabrechnung!I301*$D$4*(1+$D$6)</f>
        <v/>
      </c>
      <c r="V106" s="40">
        <f>Monatsabrechnung!J301*$D$4*(1+$D$6)</f>
        <v/>
      </c>
      <c r="W106" s="40">
        <f>Monatsabrechnung!K301*$D$4*(1+$D$6)</f>
        <v/>
      </c>
      <c r="X106" s="40">
        <f>Monatsabrechnung!L301*$D$4*(1+$D$6)</f>
        <v/>
      </c>
      <c r="Y106" s="40">
        <f>Monatsabrechnung!M301*$D$4*(1+$D$6)</f>
        <v/>
      </c>
      <c r="Z106" s="40">
        <f>Monatsabrechnung!N301*$D$4*(1+$D$6)</f>
        <v/>
      </c>
      <c r="AA106" s="40">
        <f>Monatsabrechnung!O301*$D$4*(1+$D$6)</f>
        <v/>
      </c>
      <c r="AB106" s="40">
        <f>Monatsabrechnung!P301*$D$4*(1+$D$6)</f>
        <v/>
      </c>
      <c r="AC106" s="28">
        <f>SUM(Q106:AB106)</f>
        <v/>
      </c>
      <c r="AD106" s="40">
        <f>Monatsabrechnung!E301*$D$5*(1+$D$6)</f>
        <v/>
      </c>
      <c r="AE106" s="40">
        <f>Monatsabrechnung!F301*$D$5*(1+$D$6)</f>
        <v/>
      </c>
      <c r="AF106" s="40">
        <f>Monatsabrechnung!G301*$D$5*(1+$D$6)</f>
        <v/>
      </c>
      <c r="AG106" s="40">
        <f>Monatsabrechnung!H301*$D$5*(1+$D$6)</f>
        <v/>
      </c>
      <c r="AH106" s="40">
        <f>Monatsabrechnung!I301*$D$5*(1+$D$6)</f>
        <v/>
      </c>
      <c r="AI106" s="40">
        <f>Monatsabrechnung!J301*$D$5*(1+$D$6)</f>
        <v/>
      </c>
      <c r="AJ106" s="40">
        <f>Monatsabrechnung!K301*$D$5*(1+$D$6)</f>
        <v/>
      </c>
      <c r="AK106" s="40">
        <f>Monatsabrechnung!L301*$D$5*(1+$D$6)</f>
        <v/>
      </c>
      <c r="AL106" s="40">
        <f>Monatsabrechnung!M301*$D$5*(1+$D$6)</f>
        <v/>
      </c>
      <c r="AM106" s="40">
        <f>Monatsabrechnung!N301*$D$5*(1+$D$6)</f>
        <v/>
      </c>
      <c r="AN106" s="40">
        <f>Monatsabrechnung!O301*$D$5*(1+$D$6)</f>
        <v/>
      </c>
      <c r="AO106" s="40">
        <f>Monatsabrechnung!P301*$D$5*(1+$D$6)</f>
        <v/>
      </c>
      <c r="AP106" s="28">
        <f>SUM(AD106:AO106)</f>
        <v/>
      </c>
      <c r="AQ106" s="59">
        <f>P106+AC106+AP106</f>
        <v/>
      </c>
    </row>
    <row r="107">
      <c r="A107" s="91">
        <f>Stammdaten!A107</f>
        <v/>
      </c>
      <c r="B107" s="73">
        <f>Stammdaten!B107</f>
        <v/>
      </c>
      <c r="C107" s="73">
        <f>Stammdaten!C107</f>
        <v/>
      </c>
      <c r="D107" s="40">
        <f>Monatsabrechnung!E304*$D$6</f>
        <v/>
      </c>
      <c r="E107" s="40">
        <f>Monatsabrechnung!F304*$D$6</f>
        <v/>
      </c>
      <c r="F107" s="40">
        <f>Monatsabrechnung!G304*$D$6</f>
        <v/>
      </c>
      <c r="G107" s="40">
        <f>Monatsabrechnung!H304*$D$6</f>
        <v/>
      </c>
      <c r="H107" s="40">
        <f>Monatsabrechnung!I304*$D$6</f>
        <v/>
      </c>
      <c r="I107" s="40">
        <f>Monatsabrechnung!J304*$D$6</f>
        <v/>
      </c>
      <c r="J107" s="40">
        <f>Monatsabrechnung!K304*$D$6</f>
        <v/>
      </c>
      <c r="K107" s="40">
        <f>Monatsabrechnung!L304*$D$6</f>
        <v/>
      </c>
      <c r="L107" s="40">
        <f>Monatsabrechnung!M304*$D$6</f>
        <v/>
      </c>
      <c r="M107" s="40">
        <f>Monatsabrechnung!N304*$D$6</f>
        <v/>
      </c>
      <c r="N107" s="40">
        <f>Monatsabrechnung!O304*$D$6</f>
        <v/>
      </c>
      <c r="O107" s="40">
        <f>Monatsabrechnung!P304*$D$6</f>
        <v/>
      </c>
      <c r="P107" s="28">
        <f>SUM(D107:O107)</f>
        <v/>
      </c>
      <c r="Q107" s="40">
        <f>Monatsabrechnung!E304*$D$4*(1+$D$6)</f>
        <v/>
      </c>
      <c r="R107" s="40">
        <f>Monatsabrechnung!F304*$D$4*(1+$D$6)</f>
        <v/>
      </c>
      <c r="S107" s="40">
        <f>Monatsabrechnung!G304*$D$4*(1+$D$6)</f>
        <v/>
      </c>
      <c r="T107" s="40">
        <f>Monatsabrechnung!H304*$D$4*(1+$D$6)</f>
        <v/>
      </c>
      <c r="U107" s="40">
        <f>Monatsabrechnung!I304*$D$4*(1+$D$6)</f>
        <v/>
      </c>
      <c r="V107" s="40">
        <f>Monatsabrechnung!J304*$D$4*(1+$D$6)</f>
        <v/>
      </c>
      <c r="W107" s="40">
        <f>Monatsabrechnung!K304*$D$4*(1+$D$6)</f>
        <v/>
      </c>
      <c r="X107" s="40">
        <f>Monatsabrechnung!L304*$D$4*(1+$D$6)</f>
        <v/>
      </c>
      <c r="Y107" s="40">
        <f>Monatsabrechnung!M304*$D$4*(1+$D$6)</f>
        <v/>
      </c>
      <c r="Z107" s="40">
        <f>Monatsabrechnung!N304*$D$4*(1+$D$6)</f>
        <v/>
      </c>
      <c r="AA107" s="40">
        <f>Monatsabrechnung!O304*$D$4*(1+$D$6)</f>
        <v/>
      </c>
      <c r="AB107" s="40">
        <f>Monatsabrechnung!P304*$D$4*(1+$D$6)</f>
        <v/>
      </c>
      <c r="AC107" s="28">
        <f>SUM(Q107:AB107)</f>
        <v/>
      </c>
      <c r="AD107" s="40">
        <f>Monatsabrechnung!E304*$D$5*(1+$D$6)</f>
        <v/>
      </c>
      <c r="AE107" s="40">
        <f>Monatsabrechnung!F304*$D$5*(1+$D$6)</f>
        <v/>
      </c>
      <c r="AF107" s="40">
        <f>Monatsabrechnung!G304*$D$5*(1+$D$6)</f>
        <v/>
      </c>
      <c r="AG107" s="40">
        <f>Monatsabrechnung!H304*$D$5*(1+$D$6)</f>
        <v/>
      </c>
      <c r="AH107" s="40">
        <f>Monatsabrechnung!I304*$D$5*(1+$D$6)</f>
        <v/>
      </c>
      <c r="AI107" s="40">
        <f>Monatsabrechnung!J304*$D$5*(1+$D$6)</f>
        <v/>
      </c>
      <c r="AJ107" s="40">
        <f>Monatsabrechnung!K304*$D$5*(1+$D$6)</f>
        <v/>
      </c>
      <c r="AK107" s="40">
        <f>Monatsabrechnung!L304*$D$5*(1+$D$6)</f>
        <v/>
      </c>
      <c r="AL107" s="40">
        <f>Monatsabrechnung!M304*$D$5*(1+$D$6)</f>
        <v/>
      </c>
      <c r="AM107" s="40">
        <f>Monatsabrechnung!N304*$D$5*(1+$D$6)</f>
        <v/>
      </c>
      <c r="AN107" s="40">
        <f>Monatsabrechnung!O304*$D$5*(1+$D$6)</f>
        <v/>
      </c>
      <c r="AO107" s="40">
        <f>Monatsabrechnung!P304*$D$5*(1+$D$6)</f>
        <v/>
      </c>
      <c r="AP107" s="28">
        <f>SUM(AD107:AO107)</f>
        <v/>
      </c>
      <c r="AQ107" s="59">
        <f>P107+AC107+AP107</f>
        <v/>
      </c>
    </row>
    <row r="108">
      <c r="A108" s="91">
        <f>Stammdaten!A108</f>
        <v/>
      </c>
      <c r="B108" s="73">
        <f>Stammdaten!B108</f>
        <v/>
      </c>
      <c r="C108" s="73">
        <f>Stammdaten!C108</f>
        <v/>
      </c>
      <c r="D108" s="40">
        <f>Monatsabrechnung!E307*$D$6</f>
        <v/>
      </c>
      <c r="E108" s="40">
        <f>Monatsabrechnung!F307*$D$6</f>
        <v/>
      </c>
      <c r="F108" s="40">
        <f>Monatsabrechnung!G307*$D$6</f>
        <v/>
      </c>
      <c r="G108" s="40">
        <f>Monatsabrechnung!H307*$D$6</f>
        <v/>
      </c>
      <c r="H108" s="40">
        <f>Monatsabrechnung!I307*$D$6</f>
        <v/>
      </c>
      <c r="I108" s="40">
        <f>Monatsabrechnung!J307*$D$6</f>
        <v/>
      </c>
      <c r="J108" s="40">
        <f>Monatsabrechnung!K307*$D$6</f>
        <v/>
      </c>
      <c r="K108" s="40">
        <f>Monatsabrechnung!L307*$D$6</f>
        <v/>
      </c>
      <c r="L108" s="40">
        <f>Monatsabrechnung!M307*$D$6</f>
        <v/>
      </c>
      <c r="M108" s="40">
        <f>Monatsabrechnung!N307*$D$6</f>
        <v/>
      </c>
      <c r="N108" s="40">
        <f>Monatsabrechnung!O307*$D$6</f>
        <v/>
      </c>
      <c r="O108" s="40">
        <f>Monatsabrechnung!P307*$D$6</f>
        <v/>
      </c>
      <c r="P108" s="28">
        <f>SUM(D108:O108)</f>
        <v/>
      </c>
      <c r="Q108" s="40">
        <f>Monatsabrechnung!E307*$D$4*(1+$D$6)</f>
        <v/>
      </c>
      <c r="R108" s="40">
        <f>Monatsabrechnung!F307*$D$4*(1+$D$6)</f>
        <v/>
      </c>
      <c r="S108" s="40">
        <f>Monatsabrechnung!G307*$D$4*(1+$D$6)</f>
        <v/>
      </c>
      <c r="T108" s="40">
        <f>Monatsabrechnung!H307*$D$4*(1+$D$6)</f>
        <v/>
      </c>
      <c r="U108" s="40">
        <f>Monatsabrechnung!I307*$D$4*(1+$D$6)</f>
        <v/>
      </c>
      <c r="V108" s="40">
        <f>Monatsabrechnung!J307*$D$4*(1+$D$6)</f>
        <v/>
      </c>
      <c r="W108" s="40">
        <f>Monatsabrechnung!K307*$D$4*(1+$D$6)</f>
        <v/>
      </c>
      <c r="X108" s="40">
        <f>Monatsabrechnung!L307*$D$4*(1+$D$6)</f>
        <v/>
      </c>
      <c r="Y108" s="40">
        <f>Monatsabrechnung!M307*$D$4*(1+$D$6)</f>
        <v/>
      </c>
      <c r="Z108" s="40">
        <f>Monatsabrechnung!N307*$D$4*(1+$D$6)</f>
        <v/>
      </c>
      <c r="AA108" s="40">
        <f>Monatsabrechnung!O307*$D$4*(1+$D$6)</f>
        <v/>
      </c>
      <c r="AB108" s="40">
        <f>Monatsabrechnung!P307*$D$4*(1+$D$6)</f>
        <v/>
      </c>
      <c r="AC108" s="28">
        <f>SUM(Q108:AB108)</f>
        <v/>
      </c>
      <c r="AD108" s="40">
        <f>Monatsabrechnung!E307*$D$5*(1+$D$6)</f>
        <v/>
      </c>
      <c r="AE108" s="40">
        <f>Monatsabrechnung!F307*$D$5*(1+$D$6)</f>
        <v/>
      </c>
      <c r="AF108" s="40">
        <f>Monatsabrechnung!G307*$D$5*(1+$D$6)</f>
        <v/>
      </c>
      <c r="AG108" s="40">
        <f>Monatsabrechnung!H307*$D$5*(1+$D$6)</f>
        <v/>
      </c>
      <c r="AH108" s="40">
        <f>Monatsabrechnung!I307*$D$5*(1+$D$6)</f>
        <v/>
      </c>
      <c r="AI108" s="40">
        <f>Monatsabrechnung!J307*$D$5*(1+$D$6)</f>
        <v/>
      </c>
      <c r="AJ108" s="40">
        <f>Monatsabrechnung!K307*$D$5*(1+$D$6)</f>
        <v/>
      </c>
      <c r="AK108" s="40">
        <f>Monatsabrechnung!L307*$D$5*(1+$D$6)</f>
        <v/>
      </c>
      <c r="AL108" s="40">
        <f>Monatsabrechnung!M307*$D$5*(1+$D$6)</f>
        <v/>
      </c>
      <c r="AM108" s="40">
        <f>Monatsabrechnung!N307*$D$5*(1+$D$6)</f>
        <v/>
      </c>
      <c r="AN108" s="40">
        <f>Monatsabrechnung!O307*$D$5*(1+$D$6)</f>
        <v/>
      </c>
      <c r="AO108" s="40">
        <f>Monatsabrechnung!P307*$D$5*(1+$D$6)</f>
        <v/>
      </c>
      <c r="AP108" s="28">
        <f>SUM(AD108:AO108)</f>
        <v/>
      </c>
      <c r="AQ108" s="59">
        <f>P108+AC108+AP108</f>
        <v/>
      </c>
    </row>
  </sheetData>
  <mergeCells count="8">
    <mergeCell ref="A4:C4"/>
    <mergeCell ref="A5:C5"/>
    <mergeCell ref="A6:C6"/>
    <mergeCell ref="A2:AQ2"/>
    <mergeCell ref="Q7:AC7"/>
    <mergeCell ref="D7:P7"/>
    <mergeCell ref="A1:AQ1"/>
    <mergeCell ref="AD7:AP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D6555"/>
    <outlinePr summaryBelow="1" summaryRight="1"/>
    <pageSetUpPr/>
  </sheetPr>
  <dimension ref="A1:J1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26" customHeight="1">
      <c r="A1" s="1" t="inlineStr">
        <is>
          <t>HILFSBLATT — Mitarbeiter- &amp; Kunden-Auswertung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Automatisch berechnet aus 'Monatsabrechnung' &amp; 'Rückstellungen' · bitte nicht manuell bearbeiten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6" customHeight="1">
      <c r="A3" s="104" t="inlineStr">
        <is>
          <t>Mitarbeiter-Auswertung (100 Mitarbeiter)</t>
        </is>
      </c>
    </row>
    <row r="4" ht="30" customHeight="1">
      <c r="A4" s="107" t="inlineStr">
        <is>
          <t>ID</t>
        </is>
      </c>
      <c r="B4" s="107" t="inlineStr">
        <is>
          <t>Kunde</t>
        </is>
      </c>
      <c r="C4" s="107" t="inlineStr">
        <is>
          <t>Mitarbeiter</t>
        </is>
      </c>
      <c r="D4" s="107" t="inlineStr">
        <is>
          <t>Verrechnung
Jahr</t>
        </is>
      </c>
      <c r="E4" s="107" t="inlineStr">
        <is>
          <t>Selbstkosten
Jahr</t>
        </is>
      </c>
      <c r="F4" s="107" t="inlineStr">
        <is>
          <t>Abgaben &amp;
Rückstellungen Jahr</t>
        </is>
      </c>
      <c r="G4" s="107" t="inlineStr">
        <is>
          <t>DB1
Jahr</t>
        </is>
      </c>
      <c r="H4" s="107" t="inlineStr">
        <is>
          <t>DB1-Marge
%</t>
        </is>
      </c>
      <c r="I4" s="107" t="inlineStr">
        <is>
          <t>Rang
(bester DB1)</t>
        </is>
      </c>
      <c r="J4" s="107" t="inlineStr">
        <is>
          <t>Rang
(Verlust)</t>
        </is>
      </c>
    </row>
    <row r="5">
      <c r="A5" s="89">
        <f>Stammdaten!A9</f>
        <v/>
      </c>
      <c r="B5" s="67">
        <f>Stammdaten!B9</f>
        <v/>
      </c>
      <c r="C5" s="67">
        <f>Stammdaten!C9</f>
        <v/>
      </c>
      <c r="D5" s="142">
        <f>Monatsabrechnung!Q9</f>
        <v/>
      </c>
      <c r="E5" s="142">
        <f>Monatsabrechnung!Q10</f>
        <v/>
      </c>
      <c r="F5" s="142">
        <f>Rückstellungen!AQ9</f>
        <v/>
      </c>
      <c r="G5" s="143">
        <f>Monatsabrechnung!Q11</f>
        <v/>
      </c>
      <c r="H5" s="29">
        <f>IFERROR(G5/D5,0)</f>
        <v/>
      </c>
      <c r="I5" s="144">
        <f>RANK(G5,$G$5:$G$104,0)</f>
        <v/>
      </c>
      <c r="J5" s="145">
        <f>IF(G5&lt;0,RANK(G5,$G$5:$G$104,1),"")</f>
        <v/>
      </c>
    </row>
    <row r="6">
      <c r="A6" s="89">
        <f>Stammdaten!A10</f>
        <v/>
      </c>
      <c r="B6" s="67">
        <f>Stammdaten!B10</f>
        <v/>
      </c>
      <c r="C6" s="67">
        <f>Stammdaten!C10</f>
        <v/>
      </c>
      <c r="D6" s="142">
        <f>Monatsabrechnung!Q12</f>
        <v/>
      </c>
      <c r="E6" s="142">
        <f>Monatsabrechnung!Q13</f>
        <v/>
      </c>
      <c r="F6" s="142">
        <f>Rückstellungen!AQ10</f>
        <v/>
      </c>
      <c r="G6" s="143">
        <f>Monatsabrechnung!Q14</f>
        <v/>
      </c>
      <c r="H6" s="29">
        <f>IFERROR(G6/D6,0)</f>
        <v/>
      </c>
      <c r="I6" s="144">
        <f>RANK(G6,$G$5:$G$104,0)</f>
        <v/>
      </c>
      <c r="J6" s="145">
        <f>IF(G6&lt;0,RANK(G6,$G$5:$G$104,1),"")</f>
        <v/>
      </c>
    </row>
    <row r="7">
      <c r="A7" s="89">
        <f>Stammdaten!A11</f>
        <v/>
      </c>
      <c r="B7" s="67">
        <f>Stammdaten!B11</f>
        <v/>
      </c>
      <c r="C7" s="67">
        <f>Stammdaten!C11</f>
        <v/>
      </c>
      <c r="D7" s="142">
        <f>Monatsabrechnung!Q15</f>
        <v/>
      </c>
      <c r="E7" s="142">
        <f>Monatsabrechnung!Q16</f>
        <v/>
      </c>
      <c r="F7" s="142">
        <f>Rückstellungen!AQ11</f>
        <v/>
      </c>
      <c r="G7" s="143">
        <f>Monatsabrechnung!Q17</f>
        <v/>
      </c>
      <c r="H7" s="29">
        <f>IFERROR(G7/D7,0)</f>
        <v/>
      </c>
      <c r="I7" s="144">
        <f>RANK(G7,$G$5:$G$104,0)</f>
        <v/>
      </c>
      <c r="J7" s="145">
        <f>IF(G7&lt;0,RANK(G7,$G$5:$G$104,1),"")</f>
        <v/>
      </c>
    </row>
    <row r="8">
      <c r="A8" s="89">
        <f>Stammdaten!A12</f>
        <v/>
      </c>
      <c r="B8" s="67">
        <f>Stammdaten!B12</f>
        <v/>
      </c>
      <c r="C8" s="67">
        <f>Stammdaten!C12</f>
        <v/>
      </c>
      <c r="D8" s="142">
        <f>Monatsabrechnung!Q18</f>
        <v/>
      </c>
      <c r="E8" s="142">
        <f>Monatsabrechnung!Q19</f>
        <v/>
      </c>
      <c r="F8" s="142">
        <f>Rückstellungen!AQ12</f>
        <v/>
      </c>
      <c r="G8" s="143">
        <f>Monatsabrechnung!Q20</f>
        <v/>
      </c>
      <c r="H8" s="29">
        <f>IFERROR(G8/D8,0)</f>
        <v/>
      </c>
      <c r="I8" s="144">
        <f>RANK(G8,$G$5:$G$104,0)</f>
        <v/>
      </c>
      <c r="J8" s="145">
        <f>IF(G8&lt;0,RANK(G8,$G$5:$G$104,1),"")</f>
        <v/>
      </c>
    </row>
    <row r="9">
      <c r="A9" s="89">
        <f>Stammdaten!A13</f>
        <v/>
      </c>
      <c r="B9" s="67">
        <f>Stammdaten!B13</f>
        <v/>
      </c>
      <c r="C9" s="67">
        <f>Stammdaten!C13</f>
        <v/>
      </c>
      <c r="D9" s="142">
        <f>Monatsabrechnung!Q21</f>
        <v/>
      </c>
      <c r="E9" s="142">
        <f>Monatsabrechnung!Q22</f>
        <v/>
      </c>
      <c r="F9" s="142">
        <f>Rückstellungen!AQ13</f>
        <v/>
      </c>
      <c r="G9" s="143">
        <f>Monatsabrechnung!Q23</f>
        <v/>
      </c>
      <c r="H9" s="29">
        <f>IFERROR(G9/D9,0)</f>
        <v/>
      </c>
      <c r="I9" s="144">
        <f>RANK(G9,$G$5:$G$104,0)</f>
        <v/>
      </c>
      <c r="J9" s="145">
        <f>IF(G9&lt;0,RANK(G9,$G$5:$G$104,1),"")</f>
        <v/>
      </c>
    </row>
    <row r="10">
      <c r="A10" s="89">
        <f>Stammdaten!A14</f>
        <v/>
      </c>
      <c r="B10" s="67">
        <f>Stammdaten!B14</f>
        <v/>
      </c>
      <c r="C10" s="67">
        <f>Stammdaten!C14</f>
        <v/>
      </c>
      <c r="D10" s="142">
        <f>Monatsabrechnung!Q24</f>
        <v/>
      </c>
      <c r="E10" s="142">
        <f>Monatsabrechnung!Q25</f>
        <v/>
      </c>
      <c r="F10" s="142">
        <f>Rückstellungen!AQ14</f>
        <v/>
      </c>
      <c r="G10" s="143">
        <f>Monatsabrechnung!Q26</f>
        <v/>
      </c>
      <c r="H10" s="29">
        <f>IFERROR(G10/D10,0)</f>
        <v/>
      </c>
      <c r="I10" s="144">
        <f>RANK(G10,$G$5:$G$104,0)</f>
        <v/>
      </c>
      <c r="J10" s="145">
        <f>IF(G10&lt;0,RANK(G10,$G$5:$G$104,1),"")</f>
        <v/>
      </c>
    </row>
    <row r="11">
      <c r="A11" s="89">
        <f>Stammdaten!A15</f>
        <v/>
      </c>
      <c r="B11" s="67">
        <f>Stammdaten!B15</f>
        <v/>
      </c>
      <c r="C11" s="67">
        <f>Stammdaten!C15</f>
        <v/>
      </c>
      <c r="D11" s="142">
        <f>Monatsabrechnung!Q27</f>
        <v/>
      </c>
      <c r="E11" s="142">
        <f>Monatsabrechnung!Q28</f>
        <v/>
      </c>
      <c r="F11" s="142">
        <f>Rückstellungen!AQ15</f>
        <v/>
      </c>
      <c r="G11" s="143">
        <f>Monatsabrechnung!Q29</f>
        <v/>
      </c>
      <c r="H11" s="29">
        <f>IFERROR(G11/D11,0)</f>
        <v/>
      </c>
      <c r="I11" s="144">
        <f>RANK(G11,$G$5:$G$104,0)</f>
        <v/>
      </c>
      <c r="J11" s="145">
        <f>IF(G11&lt;0,RANK(G11,$G$5:$G$104,1),"")</f>
        <v/>
      </c>
    </row>
    <row r="12">
      <c r="A12" s="89">
        <f>Stammdaten!A16</f>
        <v/>
      </c>
      <c r="B12" s="67">
        <f>Stammdaten!B16</f>
        <v/>
      </c>
      <c r="C12" s="67">
        <f>Stammdaten!C16</f>
        <v/>
      </c>
      <c r="D12" s="142">
        <f>Monatsabrechnung!Q30</f>
        <v/>
      </c>
      <c r="E12" s="142">
        <f>Monatsabrechnung!Q31</f>
        <v/>
      </c>
      <c r="F12" s="142">
        <f>Rückstellungen!AQ16</f>
        <v/>
      </c>
      <c r="G12" s="143">
        <f>Monatsabrechnung!Q32</f>
        <v/>
      </c>
      <c r="H12" s="29">
        <f>IFERROR(G12/D12,0)</f>
        <v/>
      </c>
      <c r="I12" s="144">
        <f>RANK(G12,$G$5:$G$104,0)</f>
        <v/>
      </c>
      <c r="J12" s="145">
        <f>IF(G12&lt;0,RANK(G12,$G$5:$G$104,1),"")</f>
        <v/>
      </c>
    </row>
    <row r="13">
      <c r="A13" s="89">
        <f>Stammdaten!A17</f>
        <v/>
      </c>
      <c r="B13" s="67">
        <f>Stammdaten!B17</f>
        <v/>
      </c>
      <c r="C13" s="67">
        <f>Stammdaten!C17</f>
        <v/>
      </c>
      <c r="D13" s="142">
        <f>Monatsabrechnung!Q33</f>
        <v/>
      </c>
      <c r="E13" s="142">
        <f>Monatsabrechnung!Q34</f>
        <v/>
      </c>
      <c r="F13" s="142">
        <f>Rückstellungen!AQ17</f>
        <v/>
      </c>
      <c r="G13" s="143">
        <f>Monatsabrechnung!Q35</f>
        <v/>
      </c>
      <c r="H13" s="29">
        <f>IFERROR(G13/D13,0)</f>
        <v/>
      </c>
      <c r="I13" s="144">
        <f>RANK(G13,$G$5:$G$104,0)</f>
        <v/>
      </c>
      <c r="J13" s="145">
        <f>IF(G13&lt;0,RANK(G13,$G$5:$G$104,1),"")</f>
        <v/>
      </c>
    </row>
    <row r="14">
      <c r="A14" s="89">
        <f>Stammdaten!A18</f>
        <v/>
      </c>
      <c r="B14" s="67">
        <f>Stammdaten!B18</f>
        <v/>
      </c>
      <c r="C14" s="67">
        <f>Stammdaten!C18</f>
        <v/>
      </c>
      <c r="D14" s="142">
        <f>Monatsabrechnung!Q36</f>
        <v/>
      </c>
      <c r="E14" s="142">
        <f>Monatsabrechnung!Q37</f>
        <v/>
      </c>
      <c r="F14" s="142">
        <f>Rückstellungen!AQ18</f>
        <v/>
      </c>
      <c r="G14" s="143">
        <f>Monatsabrechnung!Q38</f>
        <v/>
      </c>
      <c r="H14" s="29">
        <f>IFERROR(G14/D14,0)</f>
        <v/>
      </c>
      <c r="I14" s="144">
        <f>RANK(G14,$G$5:$G$104,0)</f>
        <v/>
      </c>
      <c r="J14" s="145">
        <f>IF(G14&lt;0,RANK(G14,$G$5:$G$104,1),"")</f>
        <v/>
      </c>
    </row>
    <row r="15">
      <c r="A15" s="91">
        <f>Stammdaten!A19</f>
        <v/>
      </c>
      <c r="B15" s="73">
        <f>Stammdaten!B19</f>
        <v/>
      </c>
      <c r="C15" s="73">
        <f>Stammdaten!C19</f>
        <v/>
      </c>
      <c r="D15" s="146">
        <f>Monatsabrechnung!Q39</f>
        <v/>
      </c>
      <c r="E15" s="146">
        <f>Monatsabrechnung!Q40</f>
        <v/>
      </c>
      <c r="F15" s="146">
        <f>Rückstellungen!AQ19</f>
        <v/>
      </c>
      <c r="G15" s="147">
        <f>Monatsabrechnung!Q41</f>
        <v/>
      </c>
      <c r="H15" s="35">
        <f>IFERROR(G15/D15,0)</f>
        <v/>
      </c>
      <c r="I15" s="148">
        <f>RANK(G15,$G$5:$G$104,0)</f>
        <v/>
      </c>
      <c r="J15" s="149">
        <f>IF(G15&lt;0,RANK(G15,$G$5:$G$104,1),"")</f>
        <v/>
      </c>
    </row>
    <row r="16">
      <c r="A16" s="91">
        <f>Stammdaten!A20</f>
        <v/>
      </c>
      <c r="B16" s="73">
        <f>Stammdaten!B20</f>
        <v/>
      </c>
      <c r="C16" s="73">
        <f>Stammdaten!C20</f>
        <v/>
      </c>
      <c r="D16" s="146">
        <f>Monatsabrechnung!Q42</f>
        <v/>
      </c>
      <c r="E16" s="146">
        <f>Monatsabrechnung!Q43</f>
        <v/>
      </c>
      <c r="F16" s="146">
        <f>Rückstellungen!AQ20</f>
        <v/>
      </c>
      <c r="G16" s="147">
        <f>Monatsabrechnung!Q44</f>
        <v/>
      </c>
      <c r="H16" s="35">
        <f>IFERROR(G16/D16,0)</f>
        <v/>
      </c>
      <c r="I16" s="148">
        <f>RANK(G16,$G$5:$G$104,0)</f>
        <v/>
      </c>
      <c r="J16" s="149">
        <f>IF(G16&lt;0,RANK(G16,$G$5:$G$104,1),"")</f>
        <v/>
      </c>
    </row>
    <row r="17">
      <c r="A17" s="91">
        <f>Stammdaten!A21</f>
        <v/>
      </c>
      <c r="B17" s="73">
        <f>Stammdaten!B21</f>
        <v/>
      </c>
      <c r="C17" s="73">
        <f>Stammdaten!C21</f>
        <v/>
      </c>
      <c r="D17" s="146">
        <f>Monatsabrechnung!Q45</f>
        <v/>
      </c>
      <c r="E17" s="146">
        <f>Monatsabrechnung!Q46</f>
        <v/>
      </c>
      <c r="F17" s="146">
        <f>Rückstellungen!AQ21</f>
        <v/>
      </c>
      <c r="G17" s="147">
        <f>Monatsabrechnung!Q47</f>
        <v/>
      </c>
      <c r="H17" s="35">
        <f>IFERROR(G17/D17,0)</f>
        <v/>
      </c>
      <c r="I17" s="148">
        <f>RANK(G17,$G$5:$G$104,0)</f>
        <v/>
      </c>
      <c r="J17" s="149">
        <f>IF(G17&lt;0,RANK(G17,$G$5:$G$104,1),"")</f>
        <v/>
      </c>
    </row>
    <row r="18">
      <c r="A18" s="91">
        <f>Stammdaten!A22</f>
        <v/>
      </c>
      <c r="B18" s="73">
        <f>Stammdaten!B22</f>
        <v/>
      </c>
      <c r="C18" s="73">
        <f>Stammdaten!C22</f>
        <v/>
      </c>
      <c r="D18" s="146">
        <f>Monatsabrechnung!Q48</f>
        <v/>
      </c>
      <c r="E18" s="146">
        <f>Monatsabrechnung!Q49</f>
        <v/>
      </c>
      <c r="F18" s="146">
        <f>Rückstellungen!AQ22</f>
        <v/>
      </c>
      <c r="G18" s="147">
        <f>Monatsabrechnung!Q50</f>
        <v/>
      </c>
      <c r="H18" s="35">
        <f>IFERROR(G18/D18,0)</f>
        <v/>
      </c>
      <c r="I18" s="148">
        <f>RANK(G18,$G$5:$G$104,0)</f>
        <v/>
      </c>
      <c r="J18" s="149">
        <f>IF(G18&lt;0,RANK(G18,$G$5:$G$104,1),"")</f>
        <v/>
      </c>
    </row>
    <row r="19">
      <c r="A19" s="91">
        <f>Stammdaten!A23</f>
        <v/>
      </c>
      <c r="B19" s="73">
        <f>Stammdaten!B23</f>
        <v/>
      </c>
      <c r="C19" s="73">
        <f>Stammdaten!C23</f>
        <v/>
      </c>
      <c r="D19" s="146">
        <f>Monatsabrechnung!Q51</f>
        <v/>
      </c>
      <c r="E19" s="146">
        <f>Monatsabrechnung!Q52</f>
        <v/>
      </c>
      <c r="F19" s="146">
        <f>Rückstellungen!AQ23</f>
        <v/>
      </c>
      <c r="G19" s="147">
        <f>Monatsabrechnung!Q53</f>
        <v/>
      </c>
      <c r="H19" s="35">
        <f>IFERROR(G19/D19,0)</f>
        <v/>
      </c>
      <c r="I19" s="148">
        <f>RANK(G19,$G$5:$G$104,0)</f>
        <v/>
      </c>
      <c r="J19" s="149">
        <f>IF(G19&lt;0,RANK(G19,$G$5:$G$104,1),"")</f>
        <v/>
      </c>
    </row>
    <row r="20">
      <c r="A20" s="91">
        <f>Stammdaten!A24</f>
        <v/>
      </c>
      <c r="B20" s="73">
        <f>Stammdaten!B24</f>
        <v/>
      </c>
      <c r="C20" s="73">
        <f>Stammdaten!C24</f>
        <v/>
      </c>
      <c r="D20" s="146">
        <f>Monatsabrechnung!Q54</f>
        <v/>
      </c>
      <c r="E20" s="146">
        <f>Monatsabrechnung!Q55</f>
        <v/>
      </c>
      <c r="F20" s="146">
        <f>Rückstellungen!AQ24</f>
        <v/>
      </c>
      <c r="G20" s="147">
        <f>Monatsabrechnung!Q56</f>
        <v/>
      </c>
      <c r="H20" s="35">
        <f>IFERROR(G20/D20,0)</f>
        <v/>
      </c>
      <c r="I20" s="148">
        <f>RANK(G20,$G$5:$G$104,0)</f>
        <v/>
      </c>
      <c r="J20" s="149">
        <f>IF(G20&lt;0,RANK(G20,$G$5:$G$104,1),"")</f>
        <v/>
      </c>
    </row>
    <row r="21">
      <c r="A21" s="91">
        <f>Stammdaten!A25</f>
        <v/>
      </c>
      <c r="B21" s="73">
        <f>Stammdaten!B25</f>
        <v/>
      </c>
      <c r="C21" s="73">
        <f>Stammdaten!C25</f>
        <v/>
      </c>
      <c r="D21" s="146">
        <f>Monatsabrechnung!Q57</f>
        <v/>
      </c>
      <c r="E21" s="146">
        <f>Monatsabrechnung!Q58</f>
        <v/>
      </c>
      <c r="F21" s="146">
        <f>Rückstellungen!AQ25</f>
        <v/>
      </c>
      <c r="G21" s="147">
        <f>Monatsabrechnung!Q59</f>
        <v/>
      </c>
      <c r="H21" s="35">
        <f>IFERROR(G21/D21,0)</f>
        <v/>
      </c>
      <c r="I21" s="148">
        <f>RANK(G21,$G$5:$G$104,0)</f>
        <v/>
      </c>
      <c r="J21" s="149">
        <f>IF(G21&lt;0,RANK(G21,$G$5:$G$104,1),"")</f>
        <v/>
      </c>
    </row>
    <row r="22">
      <c r="A22" s="91">
        <f>Stammdaten!A26</f>
        <v/>
      </c>
      <c r="B22" s="73">
        <f>Stammdaten!B26</f>
        <v/>
      </c>
      <c r="C22" s="73">
        <f>Stammdaten!C26</f>
        <v/>
      </c>
      <c r="D22" s="146">
        <f>Monatsabrechnung!Q60</f>
        <v/>
      </c>
      <c r="E22" s="146">
        <f>Monatsabrechnung!Q61</f>
        <v/>
      </c>
      <c r="F22" s="146">
        <f>Rückstellungen!AQ26</f>
        <v/>
      </c>
      <c r="G22" s="147">
        <f>Monatsabrechnung!Q62</f>
        <v/>
      </c>
      <c r="H22" s="35">
        <f>IFERROR(G22/D22,0)</f>
        <v/>
      </c>
      <c r="I22" s="148">
        <f>RANK(G22,$G$5:$G$104,0)</f>
        <v/>
      </c>
      <c r="J22" s="149">
        <f>IF(G22&lt;0,RANK(G22,$G$5:$G$104,1),"")</f>
        <v/>
      </c>
    </row>
    <row r="23">
      <c r="A23" s="91">
        <f>Stammdaten!A27</f>
        <v/>
      </c>
      <c r="B23" s="73">
        <f>Stammdaten!B27</f>
        <v/>
      </c>
      <c r="C23" s="73">
        <f>Stammdaten!C27</f>
        <v/>
      </c>
      <c r="D23" s="146">
        <f>Monatsabrechnung!Q63</f>
        <v/>
      </c>
      <c r="E23" s="146">
        <f>Monatsabrechnung!Q64</f>
        <v/>
      </c>
      <c r="F23" s="146">
        <f>Rückstellungen!AQ27</f>
        <v/>
      </c>
      <c r="G23" s="147">
        <f>Monatsabrechnung!Q65</f>
        <v/>
      </c>
      <c r="H23" s="35">
        <f>IFERROR(G23/D23,0)</f>
        <v/>
      </c>
      <c r="I23" s="148">
        <f>RANK(G23,$G$5:$G$104,0)</f>
        <v/>
      </c>
      <c r="J23" s="149">
        <f>IF(G23&lt;0,RANK(G23,$G$5:$G$104,1),"")</f>
        <v/>
      </c>
    </row>
    <row r="24">
      <c r="A24" s="91">
        <f>Stammdaten!A28</f>
        <v/>
      </c>
      <c r="B24" s="73">
        <f>Stammdaten!B28</f>
        <v/>
      </c>
      <c r="C24" s="73">
        <f>Stammdaten!C28</f>
        <v/>
      </c>
      <c r="D24" s="146">
        <f>Monatsabrechnung!Q66</f>
        <v/>
      </c>
      <c r="E24" s="146">
        <f>Monatsabrechnung!Q67</f>
        <v/>
      </c>
      <c r="F24" s="146">
        <f>Rückstellungen!AQ28</f>
        <v/>
      </c>
      <c r="G24" s="147">
        <f>Monatsabrechnung!Q68</f>
        <v/>
      </c>
      <c r="H24" s="35">
        <f>IFERROR(G24/D24,0)</f>
        <v/>
      </c>
      <c r="I24" s="148">
        <f>RANK(G24,$G$5:$G$104,0)</f>
        <v/>
      </c>
      <c r="J24" s="149">
        <f>IF(G24&lt;0,RANK(G24,$G$5:$G$104,1),"")</f>
        <v/>
      </c>
    </row>
    <row r="25">
      <c r="A25" s="89">
        <f>Stammdaten!A29</f>
        <v/>
      </c>
      <c r="B25" s="67">
        <f>Stammdaten!B29</f>
        <v/>
      </c>
      <c r="C25" s="67">
        <f>Stammdaten!C29</f>
        <v/>
      </c>
      <c r="D25" s="142">
        <f>Monatsabrechnung!Q69</f>
        <v/>
      </c>
      <c r="E25" s="142">
        <f>Monatsabrechnung!Q70</f>
        <v/>
      </c>
      <c r="F25" s="142">
        <f>Rückstellungen!AQ29</f>
        <v/>
      </c>
      <c r="G25" s="143">
        <f>Monatsabrechnung!Q71</f>
        <v/>
      </c>
      <c r="H25" s="29">
        <f>IFERROR(G25/D25,0)</f>
        <v/>
      </c>
      <c r="I25" s="144">
        <f>RANK(G25,$G$5:$G$104,0)</f>
        <v/>
      </c>
      <c r="J25" s="145">
        <f>IF(G25&lt;0,RANK(G25,$G$5:$G$104,1),"")</f>
        <v/>
      </c>
    </row>
    <row r="26">
      <c r="A26" s="89">
        <f>Stammdaten!A30</f>
        <v/>
      </c>
      <c r="B26" s="67">
        <f>Stammdaten!B30</f>
        <v/>
      </c>
      <c r="C26" s="67">
        <f>Stammdaten!C30</f>
        <v/>
      </c>
      <c r="D26" s="142">
        <f>Monatsabrechnung!Q72</f>
        <v/>
      </c>
      <c r="E26" s="142">
        <f>Monatsabrechnung!Q73</f>
        <v/>
      </c>
      <c r="F26" s="142">
        <f>Rückstellungen!AQ30</f>
        <v/>
      </c>
      <c r="G26" s="143">
        <f>Monatsabrechnung!Q74</f>
        <v/>
      </c>
      <c r="H26" s="29">
        <f>IFERROR(G26/D26,0)</f>
        <v/>
      </c>
      <c r="I26" s="144">
        <f>RANK(G26,$G$5:$G$104,0)</f>
        <v/>
      </c>
      <c r="J26" s="145">
        <f>IF(G26&lt;0,RANK(G26,$G$5:$G$104,1),"")</f>
        <v/>
      </c>
    </row>
    <row r="27">
      <c r="A27" s="89">
        <f>Stammdaten!A31</f>
        <v/>
      </c>
      <c r="B27" s="67">
        <f>Stammdaten!B31</f>
        <v/>
      </c>
      <c r="C27" s="67">
        <f>Stammdaten!C31</f>
        <v/>
      </c>
      <c r="D27" s="142">
        <f>Monatsabrechnung!Q75</f>
        <v/>
      </c>
      <c r="E27" s="142">
        <f>Monatsabrechnung!Q76</f>
        <v/>
      </c>
      <c r="F27" s="142">
        <f>Rückstellungen!AQ31</f>
        <v/>
      </c>
      <c r="G27" s="143">
        <f>Monatsabrechnung!Q77</f>
        <v/>
      </c>
      <c r="H27" s="29">
        <f>IFERROR(G27/D27,0)</f>
        <v/>
      </c>
      <c r="I27" s="144">
        <f>RANK(G27,$G$5:$G$104,0)</f>
        <v/>
      </c>
      <c r="J27" s="145">
        <f>IF(G27&lt;0,RANK(G27,$G$5:$G$104,1),"")</f>
        <v/>
      </c>
    </row>
    <row r="28">
      <c r="A28" s="89">
        <f>Stammdaten!A32</f>
        <v/>
      </c>
      <c r="B28" s="67">
        <f>Stammdaten!B32</f>
        <v/>
      </c>
      <c r="C28" s="67">
        <f>Stammdaten!C32</f>
        <v/>
      </c>
      <c r="D28" s="142">
        <f>Monatsabrechnung!Q78</f>
        <v/>
      </c>
      <c r="E28" s="142">
        <f>Monatsabrechnung!Q79</f>
        <v/>
      </c>
      <c r="F28" s="142">
        <f>Rückstellungen!AQ32</f>
        <v/>
      </c>
      <c r="G28" s="143">
        <f>Monatsabrechnung!Q80</f>
        <v/>
      </c>
      <c r="H28" s="29">
        <f>IFERROR(G28/D28,0)</f>
        <v/>
      </c>
      <c r="I28" s="144">
        <f>RANK(G28,$G$5:$G$104,0)</f>
        <v/>
      </c>
      <c r="J28" s="145">
        <f>IF(G28&lt;0,RANK(G28,$G$5:$G$104,1),"")</f>
        <v/>
      </c>
    </row>
    <row r="29">
      <c r="A29" s="89">
        <f>Stammdaten!A33</f>
        <v/>
      </c>
      <c r="B29" s="67">
        <f>Stammdaten!B33</f>
        <v/>
      </c>
      <c r="C29" s="67">
        <f>Stammdaten!C33</f>
        <v/>
      </c>
      <c r="D29" s="142">
        <f>Monatsabrechnung!Q81</f>
        <v/>
      </c>
      <c r="E29" s="142">
        <f>Monatsabrechnung!Q82</f>
        <v/>
      </c>
      <c r="F29" s="142">
        <f>Rückstellungen!AQ33</f>
        <v/>
      </c>
      <c r="G29" s="143">
        <f>Monatsabrechnung!Q83</f>
        <v/>
      </c>
      <c r="H29" s="29">
        <f>IFERROR(G29/D29,0)</f>
        <v/>
      </c>
      <c r="I29" s="144">
        <f>RANK(G29,$G$5:$G$104,0)</f>
        <v/>
      </c>
      <c r="J29" s="145">
        <f>IF(G29&lt;0,RANK(G29,$G$5:$G$104,1),"")</f>
        <v/>
      </c>
    </row>
    <row r="30">
      <c r="A30" s="89">
        <f>Stammdaten!A34</f>
        <v/>
      </c>
      <c r="B30" s="67">
        <f>Stammdaten!B34</f>
        <v/>
      </c>
      <c r="C30" s="67">
        <f>Stammdaten!C34</f>
        <v/>
      </c>
      <c r="D30" s="142">
        <f>Monatsabrechnung!Q84</f>
        <v/>
      </c>
      <c r="E30" s="142">
        <f>Monatsabrechnung!Q85</f>
        <v/>
      </c>
      <c r="F30" s="142">
        <f>Rückstellungen!AQ34</f>
        <v/>
      </c>
      <c r="G30" s="143">
        <f>Monatsabrechnung!Q86</f>
        <v/>
      </c>
      <c r="H30" s="29">
        <f>IFERROR(G30/D30,0)</f>
        <v/>
      </c>
      <c r="I30" s="144">
        <f>RANK(G30,$G$5:$G$104,0)</f>
        <v/>
      </c>
      <c r="J30" s="145">
        <f>IF(G30&lt;0,RANK(G30,$G$5:$G$104,1),"")</f>
        <v/>
      </c>
    </row>
    <row r="31">
      <c r="A31" s="89">
        <f>Stammdaten!A35</f>
        <v/>
      </c>
      <c r="B31" s="67">
        <f>Stammdaten!B35</f>
        <v/>
      </c>
      <c r="C31" s="67">
        <f>Stammdaten!C35</f>
        <v/>
      </c>
      <c r="D31" s="142">
        <f>Monatsabrechnung!Q87</f>
        <v/>
      </c>
      <c r="E31" s="142">
        <f>Monatsabrechnung!Q88</f>
        <v/>
      </c>
      <c r="F31" s="142">
        <f>Rückstellungen!AQ35</f>
        <v/>
      </c>
      <c r="G31" s="143">
        <f>Monatsabrechnung!Q89</f>
        <v/>
      </c>
      <c r="H31" s="29">
        <f>IFERROR(G31/D31,0)</f>
        <v/>
      </c>
      <c r="I31" s="144">
        <f>RANK(G31,$G$5:$G$104,0)</f>
        <v/>
      </c>
      <c r="J31" s="145">
        <f>IF(G31&lt;0,RANK(G31,$G$5:$G$104,1),"")</f>
        <v/>
      </c>
    </row>
    <row r="32">
      <c r="A32" s="89">
        <f>Stammdaten!A36</f>
        <v/>
      </c>
      <c r="B32" s="67">
        <f>Stammdaten!B36</f>
        <v/>
      </c>
      <c r="C32" s="67">
        <f>Stammdaten!C36</f>
        <v/>
      </c>
      <c r="D32" s="142">
        <f>Monatsabrechnung!Q90</f>
        <v/>
      </c>
      <c r="E32" s="142">
        <f>Monatsabrechnung!Q91</f>
        <v/>
      </c>
      <c r="F32" s="142">
        <f>Rückstellungen!AQ36</f>
        <v/>
      </c>
      <c r="G32" s="143">
        <f>Monatsabrechnung!Q92</f>
        <v/>
      </c>
      <c r="H32" s="29">
        <f>IFERROR(G32/D32,0)</f>
        <v/>
      </c>
      <c r="I32" s="144">
        <f>RANK(G32,$G$5:$G$104,0)</f>
        <v/>
      </c>
      <c r="J32" s="145">
        <f>IF(G32&lt;0,RANK(G32,$G$5:$G$104,1),"")</f>
        <v/>
      </c>
    </row>
    <row r="33">
      <c r="A33" s="89">
        <f>Stammdaten!A37</f>
        <v/>
      </c>
      <c r="B33" s="67">
        <f>Stammdaten!B37</f>
        <v/>
      </c>
      <c r="C33" s="67">
        <f>Stammdaten!C37</f>
        <v/>
      </c>
      <c r="D33" s="142">
        <f>Monatsabrechnung!Q93</f>
        <v/>
      </c>
      <c r="E33" s="142">
        <f>Monatsabrechnung!Q94</f>
        <v/>
      </c>
      <c r="F33" s="142">
        <f>Rückstellungen!AQ37</f>
        <v/>
      </c>
      <c r="G33" s="143">
        <f>Monatsabrechnung!Q95</f>
        <v/>
      </c>
      <c r="H33" s="29">
        <f>IFERROR(G33/D33,0)</f>
        <v/>
      </c>
      <c r="I33" s="144">
        <f>RANK(G33,$G$5:$G$104,0)</f>
        <v/>
      </c>
      <c r="J33" s="145">
        <f>IF(G33&lt;0,RANK(G33,$G$5:$G$104,1),"")</f>
        <v/>
      </c>
    </row>
    <row r="34">
      <c r="A34" s="89">
        <f>Stammdaten!A38</f>
        <v/>
      </c>
      <c r="B34" s="67">
        <f>Stammdaten!B38</f>
        <v/>
      </c>
      <c r="C34" s="67">
        <f>Stammdaten!C38</f>
        <v/>
      </c>
      <c r="D34" s="142">
        <f>Monatsabrechnung!Q96</f>
        <v/>
      </c>
      <c r="E34" s="142">
        <f>Monatsabrechnung!Q97</f>
        <v/>
      </c>
      <c r="F34" s="142">
        <f>Rückstellungen!AQ38</f>
        <v/>
      </c>
      <c r="G34" s="143">
        <f>Monatsabrechnung!Q98</f>
        <v/>
      </c>
      <c r="H34" s="29">
        <f>IFERROR(G34/D34,0)</f>
        <v/>
      </c>
      <c r="I34" s="144">
        <f>RANK(G34,$G$5:$G$104,0)</f>
        <v/>
      </c>
      <c r="J34" s="145">
        <f>IF(G34&lt;0,RANK(G34,$G$5:$G$104,1),"")</f>
        <v/>
      </c>
    </row>
    <row r="35">
      <c r="A35" s="91">
        <f>Stammdaten!A39</f>
        <v/>
      </c>
      <c r="B35" s="73">
        <f>Stammdaten!B39</f>
        <v/>
      </c>
      <c r="C35" s="73">
        <f>Stammdaten!C39</f>
        <v/>
      </c>
      <c r="D35" s="146">
        <f>Monatsabrechnung!Q99</f>
        <v/>
      </c>
      <c r="E35" s="146">
        <f>Monatsabrechnung!Q100</f>
        <v/>
      </c>
      <c r="F35" s="146">
        <f>Rückstellungen!AQ39</f>
        <v/>
      </c>
      <c r="G35" s="147">
        <f>Monatsabrechnung!Q101</f>
        <v/>
      </c>
      <c r="H35" s="35">
        <f>IFERROR(G35/D35,0)</f>
        <v/>
      </c>
      <c r="I35" s="148">
        <f>RANK(G35,$G$5:$G$104,0)</f>
        <v/>
      </c>
      <c r="J35" s="149">
        <f>IF(G35&lt;0,RANK(G35,$G$5:$G$104,1),"")</f>
        <v/>
      </c>
    </row>
    <row r="36">
      <c r="A36" s="91">
        <f>Stammdaten!A40</f>
        <v/>
      </c>
      <c r="B36" s="73">
        <f>Stammdaten!B40</f>
        <v/>
      </c>
      <c r="C36" s="73">
        <f>Stammdaten!C40</f>
        <v/>
      </c>
      <c r="D36" s="146">
        <f>Monatsabrechnung!Q102</f>
        <v/>
      </c>
      <c r="E36" s="146">
        <f>Monatsabrechnung!Q103</f>
        <v/>
      </c>
      <c r="F36" s="146">
        <f>Rückstellungen!AQ40</f>
        <v/>
      </c>
      <c r="G36" s="147">
        <f>Monatsabrechnung!Q104</f>
        <v/>
      </c>
      <c r="H36" s="35">
        <f>IFERROR(G36/D36,0)</f>
        <v/>
      </c>
      <c r="I36" s="148">
        <f>RANK(G36,$G$5:$G$104,0)</f>
        <v/>
      </c>
      <c r="J36" s="149">
        <f>IF(G36&lt;0,RANK(G36,$G$5:$G$104,1),"")</f>
        <v/>
      </c>
    </row>
    <row r="37">
      <c r="A37" s="91">
        <f>Stammdaten!A41</f>
        <v/>
      </c>
      <c r="B37" s="73">
        <f>Stammdaten!B41</f>
        <v/>
      </c>
      <c r="C37" s="73">
        <f>Stammdaten!C41</f>
        <v/>
      </c>
      <c r="D37" s="146">
        <f>Monatsabrechnung!Q105</f>
        <v/>
      </c>
      <c r="E37" s="146">
        <f>Monatsabrechnung!Q106</f>
        <v/>
      </c>
      <c r="F37" s="146">
        <f>Rückstellungen!AQ41</f>
        <v/>
      </c>
      <c r="G37" s="147">
        <f>Monatsabrechnung!Q107</f>
        <v/>
      </c>
      <c r="H37" s="35">
        <f>IFERROR(G37/D37,0)</f>
        <v/>
      </c>
      <c r="I37" s="148">
        <f>RANK(G37,$G$5:$G$104,0)</f>
        <v/>
      </c>
      <c r="J37" s="149">
        <f>IF(G37&lt;0,RANK(G37,$G$5:$G$104,1),"")</f>
        <v/>
      </c>
    </row>
    <row r="38">
      <c r="A38" s="91">
        <f>Stammdaten!A42</f>
        <v/>
      </c>
      <c r="B38" s="73">
        <f>Stammdaten!B42</f>
        <v/>
      </c>
      <c r="C38" s="73">
        <f>Stammdaten!C42</f>
        <v/>
      </c>
      <c r="D38" s="146">
        <f>Monatsabrechnung!Q108</f>
        <v/>
      </c>
      <c r="E38" s="146">
        <f>Monatsabrechnung!Q109</f>
        <v/>
      </c>
      <c r="F38" s="146">
        <f>Rückstellungen!AQ42</f>
        <v/>
      </c>
      <c r="G38" s="147">
        <f>Monatsabrechnung!Q110</f>
        <v/>
      </c>
      <c r="H38" s="35">
        <f>IFERROR(G38/D38,0)</f>
        <v/>
      </c>
      <c r="I38" s="148">
        <f>RANK(G38,$G$5:$G$104,0)</f>
        <v/>
      </c>
      <c r="J38" s="149">
        <f>IF(G38&lt;0,RANK(G38,$G$5:$G$104,1),"")</f>
        <v/>
      </c>
    </row>
    <row r="39">
      <c r="A39" s="91">
        <f>Stammdaten!A43</f>
        <v/>
      </c>
      <c r="B39" s="73">
        <f>Stammdaten!B43</f>
        <v/>
      </c>
      <c r="C39" s="73">
        <f>Stammdaten!C43</f>
        <v/>
      </c>
      <c r="D39" s="146">
        <f>Monatsabrechnung!Q111</f>
        <v/>
      </c>
      <c r="E39" s="146">
        <f>Monatsabrechnung!Q112</f>
        <v/>
      </c>
      <c r="F39" s="146">
        <f>Rückstellungen!AQ43</f>
        <v/>
      </c>
      <c r="G39" s="147">
        <f>Monatsabrechnung!Q113</f>
        <v/>
      </c>
      <c r="H39" s="35">
        <f>IFERROR(G39/D39,0)</f>
        <v/>
      </c>
      <c r="I39" s="148">
        <f>RANK(G39,$G$5:$G$104,0)</f>
        <v/>
      </c>
      <c r="J39" s="149">
        <f>IF(G39&lt;0,RANK(G39,$G$5:$G$104,1),"")</f>
        <v/>
      </c>
    </row>
    <row r="40">
      <c r="A40" s="91">
        <f>Stammdaten!A44</f>
        <v/>
      </c>
      <c r="B40" s="73">
        <f>Stammdaten!B44</f>
        <v/>
      </c>
      <c r="C40" s="73">
        <f>Stammdaten!C44</f>
        <v/>
      </c>
      <c r="D40" s="146">
        <f>Monatsabrechnung!Q114</f>
        <v/>
      </c>
      <c r="E40" s="146">
        <f>Monatsabrechnung!Q115</f>
        <v/>
      </c>
      <c r="F40" s="146">
        <f>Rückstellungen!AQ44</f>
        <v/>
      </c>
      <c r="G40" s="147">
        <f>Monatsabrechnung!Q116</f>
        <v/>
      </c>
      <c r="H40" s="35">
        <f>IFERROR(G40/D40,0)</f>
        <v/>
      </c>
      <c r="I40" s="148">
        <f>RANK(G40,$G$5:$G$104,0)</f>
        <v/>
      </c>
      <c r="J40" s="149">
        <f>IF(G40&lt;0,RANK(G40,$G$5:$G$104,1),"")</f>
        <v/>
      </c>
    </row>
    <row r="41">
      <c r="A41" s="91">
        <f>Stammdaten!A45</f>
        <v/>
      </c>
      <c r="B41" s="73">
        <f>Stammdaten!B45</f>
        <v/>
      </c>
      <c r="C41" s="73">
        <f>Stammdaten!C45</f>
        <v/>
      </c>
      <c r="D41" s="146">
        <f>Monatsabrechnung!Q117</f>
        <v/>
      </c>
      <c r="E41" s="146">
        <f>Monatsabrechnung!Q118</f>
        <v/>
      </c>
      <c r="F41" s="146">
        <f>Rückstellungen!AQ45</f>
        <v/>
      </c>
      <c r="G41" s="147">
        <f>Monatsabrechnung!Q119</f>
        <v/>
      </c>
      <c r="H41" s="35">
        <f>IFERROR(G41/D41,0)</f>
        <v/>
      </c>
      <c r="I41" s="148">
        <f>RANK(G41,$G$5:$G$104,0)</f>
        <v/>
      </c>
      <c r="J41" s="149">
        <f>IF(G41&lt;0,RANK(G41,$G$5:$G$104,1),"")</f>
        <v/>
      </c>
    </row>
    <row r="42">
      <c r="A42" s="91">
        <f>Stammdaten!A46</f>
        <v/>
      </c>
      <c r="B42" s="73">
        <f>Stammdaten!B46</f>
        <v/>
      </c>
      <c r="C42" s="73">
        <f>Stammdaten!C46</f>
        <v/>
      </c>
      <c r="D42" s="146">
        <f>Monatsabrechnung!Q120</f>
        <v/>
      </c>
      <c r="E42" s="146">
        <f>Monatsabrechnung!Q121</f>
        <v/>
      </c>
      <c r="F42" s="146">
        <f>Rückstellungen!AQ46</f>
        <v/>
      </c>
      <c r="G42" s="147">
        <f>Monatsabrechnung!Q122</f>
        <v/>
      </c>
      <c r="H42" s="35">
        <f>IFERROR(G42/D42,0)</f>
        <v/>
      </c>
      <c r="I42" s="148">
        <f>RANK(G42,$G$5:$G$104,0)</f>
        <v/>
      </c>
      <c r="J42" s="149">
        <f>IF(G42&lt;0,RANK(G42,$G$5:$G$104,1),"")</f>
        <v/>
      </c>
    </row>
    <row r="43">
      <c r="A43" s="91">
        <f>Stammdaten!A47</f>
        <v/>
      </c>
      <c r="B43" s="73">
        <f>Stammdaten!B47</f>
        <v/>
      </c>
      <c r="C43" s="73">
        <f>Stammdaten!C47</f>
        <v/>
      </c>
      <c r="D43" s="146">
        <f>Monatsabrechnung!Q123</f>
        <v/>
      </c>
      <c r="E43" s="146">
        <f>Monatsabrechnung!Q124</f>
        <v/>
      </c>
      <c r="F43" s="146">
        <f>Rückstellungen!AQ47</f>
        <v/>
      </c>
      <c r="G43" s="147">
        <f>Monatsabrechnung!Q125</f>
        <v/>
      </c>
      <c r="H43" s="35">
        <f>IFERROR(G43/D43,0)</f>
        <v/>
      </c>
      <c r="I43" s="148">
        <f>RANK(G43,$G$5:$G$104,0)</f>
        <v/>
      </c>
      <c r="J43" s="149">
        <f>IF(G43&lt;0,RANK(G43,$G$5:$G$104,1),"")</f>
        <v/>
      </c>
    </row>
    <row r="44">
      <c r="A44" s="91">
        <f>Stammdaten!A48</f>
        <v/>
      </c>
      <c r="B44" s="73">
        <f>Stammdaten!B48</f>
        <v/>
      </c>
      <c r="C44" s="73">
        <f>Stammdaten!C48</f>
        <v/>
      </c>
      <c r="D44" s="146">
        <f>Monatsabrechnung!Q126</f>
        <v/>
      </c>
      <c r="E44" s="146">
        <f>Monatsabrechnung!Q127</f>
        <v/>
      </c>
      <c r="F44" s="146">
        <f>Rückstellungen!AQ48</f>
        <v/>
      </c>
      <c r="G44" s="147">
        <f>Monatsabrechnung!Q128</f>
        <v/>
      </c>
      <c r="H44" s="35">
        <f>IFERROR(G44/D44,0)</f>
        <v/>
      </c>
      <c r="I44" s="148">
        <f>RANK(G44,$G$5:$G$104,0)</f>
        <v/>
      </c>
      <c r="J44" s="149">
        <f>IF(G44&lt;0,RANK(G44,$G$5:$G$104,1),"")</f>
        <v/>
      </c>
    </row>
    <row r="45">
      <c r="A45" s="89">
        <f>Stammdaten!A49</f>
        <v/>
      </c>
      <c r="B45" s="67">
        <f>Stammdaten!B49</f>
        <v/>
      </c>
      <c r="C45" s="67">
        <f>Stammdaten!C49</f>
        <v/>
      </c>
      <c r="D45" s="142">
        <f>Monatsabrechnung!Q129</f>
        <v/>
      </c>
      <c r="E45" s="142">
        <f>Monatsabrechnung!Q130</f>
        <v/>
      </c>
      <c r="F45" s="142">
        <f>Rückstellungen!AQ49</f>
        <v/>
      </c>
      <c r="G45" s="143">
        <f>Monatsabrechnung!Q131</f>
        <v/>
      </c>
      <c r="H45" s="29">
        <f>IFERROR(G45/D45,0)</f>
        <v/>
      </c>
      <c r="I45" s="144">
        <f>RANK(G45,$G$5:$G$104,0)</f>
        <v/>
      </c>
      <c r="J45" s="145">
        <f>IF(G45&lt;0,RANK(G45,$G$5:$G$104,1),"")</f>
        <v/>
      </c>
    </row>
    <row r="46">
      <c r="A46" s="89">
        <f>Stammdaten!A50</f>
        <v/>
      </c>
      <c r="B46" s="67">
        <f>Stammdaten!B50</f>
        <v/>
      </c>
      <c r="C46" s="67">
        <f>Stammdaten!C50</f>
        <v/>
      </c>
      <c r="D46" s="142">
        <f>Monatsabrechnung!Q132</f>
        <v/>
      </c>
      <c r="E46" s="142">
        <f>Monatsabrechnung!Q133</f>
        <v/>
      </c>
      <c r="F46" s="142">
        <f>Rückstellungen!AQ50</f>
        <v/>
      </c>
      <c r="G46" s="143">
        <f>Monatsabrechnung!Q134</f>
        <v/>
      </c>
      <c r="H46" s="29">
        <f>IFERROR(G46/D46,0)</f>
        <v/>
      </c>
      <c r="I46" s="144">
        <f>RANK(G46,$G$5:$G$104,0)</f>
        <v/>
      </c>
      <c r="J46" s="145">
        <f>IF(G46&lt;0,RANK(G46,$G$5:$G$104,1),"")</f>
        <v/>
      </c>
    </row>
    <row r="47">
      <c r="A47" s="89">
        <f>Stammdaten!A51</f>
        <v/>
      </c>
      <c r="B47" s="67">
        <f>Stammdaten!B51</f>
        <v/>
      </c>
      <c r="C47" s="67">
        <f>Stammdaten!C51</f>
        <v/>
      </c>
      <c r="D47" s="142">
        <f>Monatsabrechnung!Q135</f>
        <v/>
      </c>
      <c r="E47" s="142">
        <f>Monatsabrechnung!Q136</f>
        <v/>
      </c>
      <c r="F47" s="142">
        <f>Rückstellungen!AQ51</f>
        <v/>
      </c>
      <c r="G47" s="143">
        <f>Monatsabrechnung!Q137</f>
        <v/>
      </c>
      <c r="H47" s="29">
        <f>IFERROR(G47/D47,0)</f>
        <v/>
      </c>
      <c r="I47" s="144">
        <f>RANK(G47,$G$5:$G$104,0)</f>
        <v/>
      </c>
      <c r="J47" s="145">
        <f>IF(G47&lt;0,RANK(G47,$G$5:$G$104,1),"")</f>
        <v/>
      </c>
    </row>
    <row r="48">
      <c r="A48" s="89">
        <f>Stammdaten!A52</f>
        <v/>
      </c>
      <c r="B48" s="67">
        <f>Stammdaten!B52</f>
        <v/>
      </c>
      <c r="C48" s="67">
        <f>Stammdaten!C52</f>
        <v/>
      </c>
      <c r="D48" s="142">
        <f>Monatsabrechnung!Q138</f>
        <v/>
      </c>
      <c r="E48" s="142">
        <f>Monatsabrechnung!Q139</f>
        <v/>
      </c>
      <c r="F48" s="142">
        <f>Rückstellungen!AQ52</f>
        <v/>
      </c>
      <c r="G48" s="143">
        <f>Monatsabrechnung!Q140</f>
        <v/>
      </c>
      <c r="H48" s="29">
        <f>IFERROR(G48/D48,0)</f>
        <v/>
      </c>
      <c r="I48" s="144">
        <f>RANK(G48,$G$5:$G$104,0)</f>
        <v/>
      </c>
      <c r="J48" s="145">
        <f>IF(G48&lt;0,RANK(G48,$G$5:$G$104,1),"")</f>
        <v/>
      </c>
    </row>
    <row r="49">
      <c r="A49" s="89">
        <f>Stammdaten!A53</f>
        <v/>
      </c>
      <c r="B49" s="67">
        <f>Stammdaten!B53</f>
        <v/>
      </c>
      <c r="C49" s="67">
        <f>Stammdaten!C53</f>
        <v/>
      </c>
      <c r="D49" s="142">
        <f>Monatsabrechnung!Q141</f>
        <v/>
      </c>
      <c r="E49" s="142">
        <f>Monatsabrechnung!Q142</f>
        <v/>
      </c>
      <c r="F49" s="142">
        <f>Rückstellungen!AQ53</f>
        <v/>
      </c>
      <c r="G49" s="143">
        <f>Monatsabrechnung!Q143</f>
        <v/>
      </c>
      <c r="H49" s="29">
        <f>IFERROR(G49/D49,0)</f>
        <v/>
      </c>
      <c r="I49" s="144">
        <f>RANK(G49,$G$5:$G$104,0)</f>
        <v/>
      </c>
      <c r="J49" s="145">
        <f>IF(G49&lt;0,RANK(G49,$G$5:$G$104,1),"")</f>
        <v/>
      </c>
    </row>
    <row r="50">
      <c r="A50" s="89">
        <f>Stammdaten!A54</f>
        <v/>
      </c>
      <c r="B50" s="67">
        <f>Stammdaten!B54</f>
        <v/>
      </c>
      <c r="C50" s="67">
        <f>Stammdaten!C54</f>
        <v/>
      </c>
      <c r="D50" s="142">
        <f>Monatsabrechnung!Q144</f>
        <v/>
      </c>
      <c r="E50" s="142">
        <f>Monatsabrechnung!Q145</f>
        <v/>
      </c>
      <c r="F50" s="142">
        <f>Rückstellungen!AQ54</f>
        <v/>
      </c>
      <c r="G50" s="143">
        <f>Monatsabrechnung!Q146</f>
        <v/>
      </c>
      <c r="H50" s="29">
        <f>IFERROR(G50/D50,0)</f>
        <v/>
      </c>
      <c r="I50" s="144">
        <f>RANK(G50,$G$5:$G$104,0)</f>
        <v/>
      </c>
      <c r="J50" s="145">
        <f>IF(G50&lt;0,RANK(G50,$G$5:$G$104,1),"")</f>
        <v/>
      </c>
    </row>
    <row r="51">
      <c r="A51" s="89">
        <f>Stammdaten!A55</f>
        <v/>
      </c>
      <c r="B51" s="67">
        <f>Stammdaten!B55</f>
        <v/>
      </c>
      <c r="C51" s="67">
        <f>Stammdaten!C55</f>
        <v/>
      </c>
      <c r="D51" s="142">
        <f>Monatsabrechnung!Q147</f>
        <v/>
      </c>
      <c r="E51" s="142">
        <f>Monatsabrechnung!Q148</f>
        <v/>
      </c>
      <c r="F51" s="142">
        <f>Rückstellungen!AQ55</f>
        <v/>
      </c>
      <c r="G51" s="143">
        <f>Monatsabrechnung!Q149</f>
        <v/>
      </c>
      <c r="H51" s="29">
        <f>IFERROR(G51/D51,0)</f>
        <v/>
      </c>
      <c r="I51" s="144">
        <f>RANK(G51,$G$5:$G$104,0)</f>
        <v/>
      </c>
      <c r="J51" s="145">
        <f>IF(G51&lt;0,RANK(G51,$G$5:$G$104,1),"")</f>
        <v/>
      </c>
    </row>
    <row r="52">
      <c r="A52" s="89">
        <f>Stammdaten!A56</f>
        <v/>
      </c>
      <c r="B52" s="67">
        <f>Stammdaten!B56</f>
        <v/>
      </c>
      <c r="C52" s="67">
        <f>Stammdaten!C56</f>
        <v/>
      </c>
      <c r="D52" s="142">
        <f>Monatsabrechnung!Q150</f>
        <v/>
      </c>
      <c r="E52" s="142">
        <f>Monatsabrechnung!Q151</f>
        <v/>
      </c>
      <c r="F52" s="142">
        <f>Rückstellungen!AQ56</f>
        <v/>
      </c>
      <c r="G52" s="143">
        <f>Monatsabrechnung!Q152</f>
        <v/>
      </c>
      <c r="H52" s="29">
        <f>IFERROR(G52/D52,0)</f>
        <v/>
      </c>
      <c r="I52" s="144">
        <f>RANK(G52,$G$5:$G$104,0)</f>
        <v/>
      </c>
      <c r="J52" s="145">
        <f>IF(G52&lt;0,RANK(G52,$G$5:$G$104,1),"")</f>
        <v/>
      </c>
    </row>
    <row r="53">
      <c r="A53" s="89">
        <f>Stammdaten!A57</f>
        <v/>
      </c>
      <c r="B53" s="67">
        <f>Stammdaten!B57</f>
        <v/>
      </c>
      <c r="C53" s="67">
        <f>Stammdaten!C57</f>
        <v/>
      </c>
      <c r="D53" s="142">
        <f>Monatsabrechnung!Q153</f>
        <v/>
      </c>
      <c r="E53" s="142">
        <f>Monatsabrechnung!Q154</f>
        <v/>
      </c>
      <c r="F53" s="142">
        <f>Rückstellungen!AQ57</f>
        <v/>
      </c>
      <c r="G53" s="143">
        <f>Monatsabrechnung!Q155</f>
        <v/>
      </c>
      <c r="H53" s="29">
        <f>IFERROR(G53/D53,0)</f>
        <v/>
      </c>
      <c r="I53" s="144">
        <f>RANK(G53,$G$5:$G$104,0)</f>
        <v/>
      </c>
      <c r="J53" s="145">
        <f>IF(G53&lt;0,RANK(G53,$G$5:$G$104,1),"")</f>
        <v/>
      </c>
    </row>
    <row r="54">
      <c r="A54" s="89">
        <f>Stammdaten!A58</f>
        <v/>
      </c>
      <c r="B54" s="67">
        <f>Stammdaten!B58</f>
        <v/>
      </c>
      <c r="C54" s="67">
        <f>Stammdaten!C58</f>
        <v/>
      </c>
      <c r="D54" s="142">
        <f>Monatsabrechnung!Q156</f>
        <v/>
      </c>
      <c r="E54" s="142">
        <f>Monatsabrechnung!Q157</f>
        <v/>
      </c>
      <c r="F54" s="142">
        <f>Rückstellungen!AQ58</f>
        <v/>
      </c>
      <c r="G54" s="143">
        <f>Monatsabrechnung!Q158</f>
        <v/>
      </c>
      <c r="H54" s="29">
        <f>IFERROR(G54/D54,0)</f>
        <v/>
      </c>
      <c r="I54" s="144">
        <f>RANK(G54,$G$5:$G$104,0)</f>
        <v/>
      </c>
      <c r="J54" s="145">
        <f>IF(G54&lt;0,RANK(G54,$G$5:$G$104,1),"")</f>
        <v/>
      </c>
    </row>
    <row r="55">
      <c r="A55" s="91">
        <f>Stammdaten!A59</f>
        <v/>
      </c>
      <c r="B55" s="73">
        <f>Stammdaten!B59</f>
        <v/>
      </c>
      <c r="C55" s="73">
        <f>Stammdaten!C59</f>
        <v/>
      </c>
      <c r="D55" s="146">
        <f>Monatsabrechnung!Q159</f>
        <v/>
      </c>
      <c r="E55" s="146">
        <f>Monatsabrechnung!Q160</f>
        <v/>
      </c>
      <c r="F55" s="146">
        <f>Rückstellungen!AQ59</f>
        <v/>
      </c>
      <c r="G55" s="147">
        <f>Monatsabrechnung!Q161</f>
        <v/>
      </c>
      <c r="H55" s="35">
        <f>IFERROR(G55/D55,0)</f>
        <v/>
      </c>
      <c r="I55" s="148">
        <f>RANK(G55,$G$5:$G$104,0)</f>
        <v/>
      </c>
      <c r="J55" s="149">
        <f>IF(G55&lt;0,RANK(G55,$G$5:$G$104,1),"")</f>
        <v/>
      </c>
    </row>
    <row r="56">
      <c r="A56" s="91">
        <f>Stammdaten!A60</f>
        <v/>
      </c>
      <c r="B56" s="73">
        <f>Stammdaten!B60</f>
        <v/>
      </c>
      <c r="C56" s="73">
        <f>Stammdaten!C60</f>
        <v/>
      </c>
      <c r="D56" s="146">
        <f>Monatsabrechnung!Q162</f>
        <v/>
      </c>
      <c r="E56" s="146">
        <f>Monatsabrechnung!Q163</f>
        <v/>
      </c>
      <c r="F56" s="146">
        <f>Rückstellungen!AQ60</f>
        <v/>
      </c>
      <c r="G56" s="147">
        <f>Monatsabrechnung!Q164</f>
        <v/>
      </c>
      <c r="H56" s="35">
        <f>IFERROR(G56/D56,0)</f>
        <v/>
      </c>
      <c r="I56" s="148">
        <f>RANK(G56,$G$5:$G$104,0)</f>
        <v/>
      </c>
      <c r="J56" s="149">
        <f>IF(G56&lt;0,RANK(G56,$G$5:$G$104,1),"")</f>
        <v/>
      </c>
    </row>
    <row r="57">
      <c r="A57" s="91">
        <f>Stammdaten!A61</f>
        <v/>
      </c>
      <c r="B57" s="73">
        <f>Stammdaten!B61</f>
        <v/>
      </c>
      <c r="C57" s="73">
        <f>Stammdaten!C61</f>
        <v/>
      </c>
      <c r="D57" s="146">
        <f>Monatsabrechnung!Q165</f>
        <v/>
      </c>
      <c r="E57" s="146">
        <f>Monatsabrechnung!Q166</f>
        <v/>
      </c>
      <c r="F57" s="146">
        <f>Rückstellungen!AQ61</f>
        <v/>
      </c>
      <c r="G57" s="147">
        <f>Monatsabrechnung!Q167</f>
        <v/>
      </c>
      <c r="H57" s="35">
        <f>IFERROR(G57/D57,0)</f>
        <v/>
      </c>
      <c r="I57" s="148">
        <f>RANK(G57,$G$5:$G$104,0)</f>
        <v/>
      </c>
      <c r="J57" s="149">
        <f>IF(G57&lt;0,RANK(G57,$G$5:$G$104,1),"")</f>
        <v/>
      </c>
    </row>
    <row r="58">
      <c r="A58" s="91">
        <f>Stammdaten!A62</f>
        <v/>
      </c>
      <c r="B58" s="73">
        <f>Stammdaten!B62</f>
        <v/>
      </c>
      <c r="C58" s="73">
        <f>Stammdaten!C62</f>
        <v/>
      </c>
      <c r="D58" s="146">
        <f>Monatsabrechnung!Q168</f>
        <v/>
      </c>
      <c r="E58" s="146">
        <f>Monatsabrechnung!Q169</f>
        <v/>
      </c>
      <c r="F58" s="146">
        <f>Rückstellungen!AQ62</f>
        <v/>
      </c>
      <c r="G58" s="147">
        <f>Monatsabrechnung!Q170</f>
        <v/>
      </c>
      <c r="H58" s="35">
        <f>IFERROR(G58/D58,0)</f>
        <v/>
      </c>
      <c r="I58" s="148">
        <f>RANK(G58,$G$5:$G$104,0)</f>
        <v/>
      </c>
      <c r="J58" s="149">
        <f>IF(G58&lt;0,RANK(G58,$G$5:$G$104,1),"")</f>
        <v/>
      </c>
    </row>
    <row r="59">
      <c r="A59" s="91">
        <f>Stammdaten!A63</f>
        <v/>
      </c>
      <c r="B59" s="73">
        <f>Stammdaten!B63</f>
        <v/>
      </c>
      <c r="C59" s="73">
        <f>Stammdaten!C63</f>
        <v/>
      </c>
      <c r="D59" s="146">
        <f>Monatsabrechnung!Q171</f>
        <v/>
      </c>
      <c r="E59" s="146">
        <f>Monatsabrechnung!Q172</f>
        <v/>
      </c>
      <c r="F59" s="146">
        <f>Rückstellungen!AQ63</f>
        <v/>
      </c>
      <c r="G59" s="147">
        <f>Monatsabrechnung!Q173</f>
        <v/>
      </c>
      <c r="H59" s="35">
        <f>IFERROR(G59/D59,0)</f>
        <v/>
      </c>
      <c r="I59" s="148">
        <f>RANK(G59,$G$5:$G$104,0)</f>
        <v/>
      </c>
      <c r="J59" s="149">
        <f>IF(G59&lt;0,RANK(G59,$G$5:$G$104,1),"")</f>
        <v/>
      </c>
    </row>
    <row r="60">
      <c r="A60" s="91">
        <f>Stammdaten!A64</f>
        <v/>
      </c>
      <c r="B60" s="73">
        <f>Stammdaten!B64</f>
        <v/>
      </c>
      <c r="C60" s="73">
        <f>Stammdaten!C64</f>
        <v/>
      </c>
      <c r="D60" s="146">
        <f>Monatsabrechnung!Q174</f>
        <v/>
      </c>
      <c r="E60" s="146">
        <f>Monatsabrechnung!Q175</f>
        <v/>
      </c>
      <c r="F60" s="146">
        <f>Rückstellungen!AQ64</f>
        <v/>
      </c>
      <c r="G60" s="147">
        <f>Monatsabrechnung!Q176</f>
        <v/>
      </c>
      <c r="H60" s="35">
        <f>IFERROR(G60/D60,0)</f>
        <v/>
      </c>
      <c r="I60" s="148">
        <f>RANK(G60,$G$5:$G$104,0)</f>
        <v/>
      </c>
      <c r="J60" s="149">
        <f>IF(G60&lt;0,RANK(G60,$G$5:$G$104,1),"")</f>
        <v/>
      </c>
    </row>
    <row r="61">
      <c r="A61" s="91">
        <f>Stammdaten!A65</f>
        <v/>
      </c>
      <c r="B61" s="73">
        <f>Stammdaten!B65</f>
        <v/>
      </c>
      <c r="C61" s="73">
        <f>Stammdaten!C65</f>
        <v/>
      </c>
      <c r="D61" s="146">
        <f>Monatsabrechnung!Q177</f>
        <v/>
      </c>
      <c r="E61" s="146">
        <f>Monatsabrechnung!Q178</f>
        <v/>
      </c>
      <c r="F61" s="146">
        <f>Rückstellungen!AQ65</f>
        <v/>
      </c>
      <c r="G61" s="147">
        <f>Monatsabrechnung!Q179</f>
        <v/>
      </c>
      <c r="H61" s="35">
        <f>IFERROR(G61/D61,0)</f>
        <v/>
      </c>
      <c r="I61" s="148">
        <f>RANK(G61,$G$5:$G$104,0)</f>
        <v/>
      </c>
      <c r="J61" s="149">
        <f>IF(G61&lt;0,RANK(G61,$G$5:$G$104,1),"")</f>
        <v/>
      </c>
    </row>
    <row r="62">
      <c r="A62" s="91">
        <f>Stammdaten!A66</f>
        <v/>
      </c>
      <c r="B62" s="73">
        <f>Stammdaten!B66</f>
        <v/>
      </c>
      <c r="C62" s="73">
        <f>Stammdaten!C66</f>
        <v/>
      </c>
      <c r="D62" s="146">
        <f>Monatsabrechnung!Q180</f>
        <v/>
      </c>
      <c r="E62" s="146">
        <f>Monatsabrechnung!Q181</f>
        <v/>
      </c>
      <c r="F62" s="146">
        <f>Rückstellungen!AQ66</f>
        <v/>
      </c>
      <c r="G62" s="147">
        <f>Monatsabrechnung!Q182</f>
        <v/>
      </c>
      <c r="H62" s="35">
        <f>IFERROR(G62/D62,0)</f>
        <v/>
      </c>
      <c r="I62" s="148">
        <f>RANK(G62,$G$5:$G$104,0)</f>
        <v/>
      </c>
      <c r="J62" s="149">
        <f>IF(G62&lt;0,RANK(G62,$G$5:$G$104,1),"")</f>
        <v/>
      </c>
    </row>
    <row r="63">
      <c r="A63" s="91">
        <f>Stammdaten!A67</f>
        <v/>
      </c>
      <c r="B63" s="73">
        <f>Stammdaten!B67</f>
        <v/>
      </c>
      <c r="C63" s="73">
        <f>Stammdaten!C67</f>
        <v/>
      </c>
      <c r="D63" s="146">
        <f>Monatsabrechnung!Q183</f>
        <v/>
      </c>
      <c r="E63" s="146">
        <f>Monatsabrechnung!Q184</f>
        <v/>
      </c>
      <c r="F63" s="146">
        <f>Rückstellungen!AQ67</f>
        <v/>
      </c>
      <c r="G63" s="147">
        <f>Monatsabrechnung!Q185</f>
        <v/>
      </c>
      <c r="H63" s="35">
        <f>IFERROR(G63/D63,0)</f>
        <v/>
      </c>
      <c r="I63" s="148">
        <f>RANK(G63,$G$5:$G$104,0)</f>
        <v/>
      </c>
      <c r="J63" s="149">
        <f>IF(G63&lt;0,RANK(G63,$G$5:$G$104,1),"")</f>
        <v/>
      </c>
    </row>
    <row r="64">
      <c r="A64" s="91">
        <f>Stammdaten!A68</f>
        <v/>
      </c>
      <c r="B64" s="73">
        <f>Stammdaten!B68</f>
        <v/>
      </c>
      <c r="C64" s="73">
        <f>Stammdaten!C68</f>
        <v/>
      </c>
      <c r="D64" s="146">
        <f>Monatsabrechnung!Q186</f>
        <v/>
      </c>
      <c r="E64" s="146">
        <f>Monatsabrechnung!Q187</f>
        <v/>
      </c>
      <c r="F64" s="146">
        <f>Rückstellungen!AQ68</f>
        <v/>
      </c>
      <c r="G64" s="147">
        <f>Monatsabrechnung!Q188</f>
        <v/>
      </c>
      <c r="H64" s="35">
        <f>IFERROR(G64/D64,0)</f>
        <v/>
      </c>
      <c r="I64" s="148">
        <f>RANK(G64,$G$5:$G$104,0)</f>
        <v/>
      </c>
      <c r="J64" s="149">
        <f>IF(G64&lt;0,RANK(G64,$G$5:$G$104,1),"")</f>
        <v/>
      </c>
    </row>
    <row r="65">
      <c r="A65" s="89">
        <f>Stammdaten!A69</f>
        <v/>
      </c>
      <c r="B65" s="67">
        <f>Stammdaten!B69</f>
        <v/>
      </c>
      <c r="C65" s="67">
        <f>Stammdaten!C69</f>
        <v/>
      </c>
      <c r="D65" s="142">
        <f>Monatsabrechnung!Q189</f>
        <v/>
      </c>
      <c r="E65" s="142">
        <f>Monatsabrechnung!Q190</f>
        <v/>
      </c>
      <c r="F65" s="142">
        <f>Rückstellungen!AQ69</f>
        <v/>
      </c>
      <c r="G65" s="143">
        <f>Monatsabrechnung!Q191</f>
        <v/>
      </c>
      <c r="H65" s="29">
        <f>IFERROR(G65/D65,0)</f>
        <v/>
      </c>
      <c r="I65" s="144">
        <f>RANK(G65,$G$5:$G$104,0)</f>
        <v/>
      </c>
      <c r="J65" s="145">
        <f>IF(G65&lt;0,RANK(G65,$G$5:$G$104,1),"")</f>
        <v/>
      </c>
    </row>
    <row r="66">
      <c r="A66" s="89">
        <f>Stammdaten!A70</f>
        <v/>
      </c>
      <c r="B66" s="67">
        <f>Stammdaten!B70</f>
        <v/>
      </c>
      <c r="C66" s="67">
        <f>Stammdaten!C70</f>
        <v/>
      </c>
      <c r="D66" s="142">
        <f>Monatsabrechnung!Q192</f>
        <v/>
      </c>
      <c r="E66" s="142">
        <f>Monatsabrechnung!Q193</f>
        <v/>
      </c>
      <c r="F66" s="142">
        <f>Rückstellungen!AQ70</f>
        <v/>
      </c>
      <c r="G66" s="143">
        <f>Monatsabrechnung!Q194</f>
        <v/>
      </c>
      <c r="H66" s="29">
        <f>IFERROR(G66/D66,0)</f>
        <v/>
      </c>
      <c r="I66" s="144">
        <f>RANK(G66,$G$5:$G$104,0)</f>
        <v/>
      </c>
      <c r="J66" s="145">
        <f>IF(G66&lt;0,RANK(G66,$G$5:$G$104,1),"")</f>
        <v/>
      </c>
    </row>
    <row r="67">
      <c r="A67" s="89">
        <f>Stammdaten!A71</f>
        <v/>
      </c>
      <c r="B67" s="67">
        <f>Stammdaten!B71</f>
        <v/>
      </c>
      <c r="C67" s="67">
        <f>Stammdaten!C71</f>
        <v/>
      </c>
      <c r="D67" s="142">
        <f>Monatsabrechnung!Q195</f>
        <v/>
      </c>
      <c r="E67" s="142">
        <f>Monatsabrechnung!Q196</f>
        <v/>
      </c>
      <c r="F67" s="142">
        <f>Rückstellungen!AQ71</f>
        <v/>
      </c>
      <c r="G67" s="143">
        <f>Monatsabrechnung!Q197</f>
        <v/>
      </c>
      <c r="H67" s="29">
        <f>IFERROR(G67/D67,0)</f>
        <v/>
      </c>
      <c r="I67" s="144">
        <f>RANK(G67,$G$5:$G$104,0)</f>
        <v/>
      </c>
      <c r="J67" s="145">
        <f>IF(G67&lt;0,RANK(G67,$G$5:$G$104,1),"")</f>
        <v/>
      </c>
    </row>
    <row r="68">
      <c r="A68" s="89">
        <f>Stammdaten!A72</f>
        <v/>
      </c>
      <c r="B68" s="67">
        <f>Stammdaten!B72</f>
        <v/>
      </c>
      <c r="C68" s="67">
        <f>Stammdaten!C72</f>
        <v/>
      </c>
      <c r="D68" s="142">
        <f>Monatsabrechnung!Q198</f>
        <v/>
      </c>
      <c r="E68" s="142">
        <f>Monatsabrechnung!Q199</f>
        <v/>
      </c>
      <c r="F68" s="142">
        <f>Rückstellungen!AQ72</f>
        <v/>
      </c>
      <c r="G68" s="143">
        <f>Monatsabrechnung!Q200</f>
        <v/>
      </c>
      <c r="H68" s="29">
        <f>IFERROR(G68/D68,0)</f>
        <v/>
      </c>
      <c r="I68" s="144">
        <f>RANK(G68,$G$5:$G$104,0)</f>
        <v/>
      </c>
      <c r="J68" s="145">
        <f>IF(G68&lt;0,RANK(G68,$G$5:$G$104,1),"")</f>
        <v/>
      </c>
    </row>
    <row r="69">
      <c r="A69" s="89">
        <f>Stammdaten!A73</f>
        <v/>
      </c>
      <c r="B69" s="67">
        <f>Stammdaten!B73</f>
        <v/>
      </c>
      <c r="C69" s="67">
        <f>Stammdaten!C73</f>
        <v/>
      </c>
      <c r="D69" s="142">
        <f>Monatsabrechnung!Q201</f>
        <v/>
      </c>
      <c r="E69" s="142">
        <f>Monatsabrechnung!Q202</f>
        <v/>
      </c>
      <c r="F69" s="142">
        <f>Rückstellungen!AQ73</f>
        <v/>
      </c>
      <c r="G69" s="143">
        <f>Monatsabrechnung!Q203</f>
        <v/>
      </c>
      <c r="H69" s="29">
        <f>IFERROR(G69/D69,0)</f>
        <v/>
      </c>
      <c r="I69" s="144">
        <f>RANK(G69,$G$5:$G$104,0)</f>
        <v/>
      </c>
      <c r="J69" s="145">
        <f>IF(G69&lt;0,RANK(G69,$G$5:$G$104,1),"")</f>
        <v/>
      </c>
    </row>
    <row r="70">
      <c r="A70" s="89">
        <f>Stammdaten!A74</f>
        <v/>
      </c>
      <c r="B70" s="67">
        <f>Stammdaten!B74</f>
        <v/>
      </c>
      <c r="C70" s="67">
        <f>Stammdaten!C74</f>
        <v/>
      </c>
      <c r="D70" s="142">
        <f>Monatsabrechnung!Q204</f>
        <v/>
      </c>
      <c r="E70" s="142">
        <f>Monatsabrechnung!Q205</f>
        <v/>
      </c>
      <c r="F70" s="142">
        <f>Rückstellungen!AQ74</f>
        <v/>
      </c>
      <c r="G70" s="143">
        <f>Monatsabrechnung!Q206</f>
        <v/>
      </c>
      <c r="H70" s="29">
        <f>IFERROR(G70/D70,0)</f>
        <v/>
      </c>
      <c r="I70" s="144">
        <f>RANK(G70,$G$5:$G$104,0)</f>
        <v/>
      </c>
      <c r="J70" s="145">
        <f>IF(G70&lt;0,RANK(G70,$G$5:$G$104,1),"")</f>
        <v/>
      </c>
    </row>
    <row r="71">
      <c r="A71" s="89">
        <f>Stammdaten!A75</f>
        <v/>
      </c>
      <c r="B71" s="67">
        <f>Stammdaten!B75</f>
        <v/>
      </c>
      <c r="C71" s="67">
        <f>Stammdaten!C75</f>
        <v/>
      </c>
      <c r="D71" s="142">
        <f>Monatsabrechnung!Q207</f>
        <v/>
      </c>
      <c r="E71" s="142">
        <f>Monatsabrechnung!Q208</f>
        <v/>
      </c>
      <c r="F71" s="142">
        <f>Rückstellungen!AQ75</f>
        <v/>
      </c>
      <c r="G71" s="143">
        <f>Monatsabrechnung!Q209</f>
        <v/>
      </c>
      <c r="H71" s="29">
        <f>IFERROR(G71/D71,0)</f>
        <v/>
      </c>
      <c r="I71" s="144">
        <f>RANK(G71,$G$5:$G$104,0)</f>
        <v/>
      </c>
      <c r="J71" s="145">
        <f>IF(G71&lt;0,RANK(G71,$G$5:$G$104,1),"")</f>
        <v/>
      </c>
    </row>
    <row r="72">
      <c r="A72" s="89">
        <f>Stammdaten!A76</f>
        <v/>
      </c>
      <c r="B72" s="67">
        <f>Stammdaten!B76</f>
        <v/>
      </c>
      <c r="C72" s="67">
        <f>Stammdaten!C76</f>
        <v/>
      </c>
      <c r="D72" s="142">
        <f>Monatsabrechnung!Q210</f>
        <v/>
      </c>
      <c r="E72" s="142">
        <f>Monatsabrechnung!Q211</f>
        <v/>
      </c>
      <c r="F72" s="142">
        <f>Rückstellungen!AQ76</f>
        <v/>
      </c>
      <c r="G72" s="143">
        <f>Monatsabrechnung!Q212</f>
        <v/>
      </c>
      <c r="H72" s="29">
        <f>IFERROR(G72/D72,0)</f>
        <v/>
      </c>
      <c r="I72" s="144">
        <f>RANK(G72,$G$5:$G$104,0)</f>
        <v/>
      </c>
      <c r="J72" s="145">
        <f>IF(G72&lt;0,RANK(G72,$G$5:$G$104,1),"")</f>
        <v/>
      </c>
    </row>
    <row r="73">
      <c r="A73" s="89">
        <f>Stammdaten!A77</f>
        <v/>
      </c>
      <c r="B73" s="67">
        <f>Stammdaten!B77</f>
        <v/>
      </c>
      <c r="C73" s="67">
        <f>Stammdaten!C77</f>
        <v/>
      </c>
      <c r="D73" s="142">
        <f>Monatsabrechnung!Q213</f>
        <v/>
      </c>
      <c r="E73" s="142">
        <f>Monatsabrechnung!Q214</f>
        <v/>
      </c>
      <c r="F73" s="142">
        <f>Rückstellungen!AQ77</f>
        <v/>
      </c>
      <c r="G73" s="143">
        <f>Monatsabrechnung!Q215</f>
        <v/>
      </c>
      <c r="H73" s="29">
        <f>IFERROR(G73/D73,0)</f>
        <v/>
      </c>
      <c r="I73" s="144">
        <f>RANK(G73,$G$5:$G$104,0)</f>
        <v/>
      </c>
      <c r="J73" s="145">
        <f>IF(G73&lt;0,RANK(G73,$G$5:$G$104,1),"")</f>
        <v/>
      </c>
    </row>
    <row r="74">
      <c r="A74" s="89">
        <f>Stammdaten!A78</f>
        <v/>
      </c>
      <c r="B74" s="67">
        <f>Stammdaten!B78</f>
        <v/>
      </c>
      <c r="C74" s="67">
        <f>Stammdaten!C78</f>
        <v/>
      </c>
      <c r="D74" s="142">
        <f>Monatsabrechnung!Q216</f>
        <v/>
      </c>
      <c r="E74" s="142">
        <f>Monatsabrechnung!Q217</f>
        <v/>
      </c>
      <c r="F74" s="142">
        <f>Rückstellungen!AQ78</f>
        <v/>
      </c>
      <c r="G74" s="143">
        <f>Monatsabrechnung!Q218</f>
        <v/>
      </c>
      <c r="H74" s="29">
        <f>IFERROR(G74/D74,0)</f>
        <v/>
      </c>
      <c r="I74" s="144">
        <f>RANK(G74,$G$5:$G$104,0)</f>
        <v/>
      </c>
      <c r="J74" s="145">
        <f>IF(G74&lt;0,RANK(G74,$G$5:$G$104,1),"")</f>
        <v/>
      </c>
    </row>
    <row r="75">
      <c r="A75" s="91">
        <f>Stammdaten!A79</f>
        <v/>
      </c>
      <c r="B75" s="73">
        <f>Stammdaten!B79</f>
        <v/>
      </c>
      <c r="C75" s="73">
        <f>Stammdaten!C79</f>
        <v/>
      </c>
      <c r="D75" s="146">
        <f>Monatsabrechnung!Q219</f>
        <v/>
      </c>
      <c r="E75" s="146">
        <f>Monatsabrechnung!Q220</f>
        <v/>
      </c>
      <c r="F75" s="146">
        <f>Rückstellungen!AQ79</f>
        <v/>
      </c>
      <c r="G75" s="147">
        <f>Monatsabrechnung!Q221</f>
        <v/>
      </c>
      <c r="H75" s="35">
        <f>IFERROR(G75/D75,0)</f>
        <v/>
      </c>
      <c r="I75" s="148">
        <f>RANK(G75,$G$5:$G$104,0)</f>
        <v/>
      </c>
      <c r="J75" s="149">
        <f>IF(G75&lt;0,RANK(G75,$G$5:$G$104,1),"")</f>
        <v/>
      </c>
    </row>
    <row r="76">
      <c r="A76" s="91">
        <f>Stammdaten!A80</f>
        <v/>
      </c>
      <c r="B76" s="73">
        <f>Stammdaten!B80</f>
        <v/>
      </c>
      <c r="C76" s="73">
        <f>Stammdaten!C80</f>
        <v/>
      </c>
      <c r="D76" s="146">
        <f>Monatsabrechnung!Q222</f>
        <v/>
      </c>
      <c r="E76" s="146">
        <f>Monatsabrechnung!Q223</f>
        <v/>
      </c>
      <c r="F76" s="146">
        <f>Rückstellungen!AQ80</f>
        <v/>
      </c>
      <c r="G76" s="147">
        <f>Monatsabrechnung!Q224</f>
        <v/>
      </c>
      <c r="H76" s="35">
        <f>IFERROR(G76/D76,0)</f>
        <v/>
      </c>
      <c r="I76" s="148">
        <f>RANK(G76,$G$5:$G$104,0)</f>
        <v/>
      </c>
      <c r="J76" s="149">
        <f>IF(G76&lt;0,RANK(G76,$G$5:$G$104,1),"")</f>
        <v/>
      </c>
    </row>
    <row r="77">
      <c r="A77" s="91">
        <f>Stammdaten!A81</f>
        <v/>
      </c>
      <c r="B77" s="73">
        <f>Stammdaten!B81</f>
        <v/>
      </c>
      <c r="C77" s="73">
        <f>Stammdaten!C81</f>
        <v/>
      </c>
      <c r="D77" s="146">
        <f>Monatsabrechnung!Q225</f>
        <v/>
      </c>
      <c r="E77" s="146">
        <f>Monatsabrechnung!Q226</f>
        <v/>
      </c>
      <c r="F77" s="146">
        <f>Rückstellungen!AQ81</f>
        <v/>
      </c>
      <c r="G77" s="147">
        <f>Monatsabrechnung!Q227</f>
        <v/>
      </c>
      <c r="H77" s="35">
        <f>IFERROR(G77/D77,0)</f>
        <v/>
      </c>
      <c r="I77" s="148">
        <f>RANK(G77,$G$5:$G$104,0)</f>
        <v/>
      </c>
      <c r="J77" s="149">
        <f>IF(G77&lt;0,RANK(G77,$G$5:$G$104,1),"")</f>
        <v/>
      </c>
    </row>
    <row r="78">
      <c r="A78" s="91">
        <f>Stammdaten!A82</f>
        <v/>
      </c>
      <c r="B78" s="73">
        <f>Stammdaten!B82</f>
        <v/>
      </c>
      <c r="C78" s="73">
        <f>Stammdaten!C82</f>
        <v/>
      </c>
      <c r="D78" s="146">
        <f>Monatsabrechnung!Q228</f>
        <v/>
      </c>
      <c r="E78" s="146">
        <f>Monatsabrechnung!Q229</f>
        <v/>
      </c>
      <c r="F78" s="146">
        <f>Rückstellungen!AQ82</f>
        <v/>
      </c>
      <c r="G78" s="147">
        <f>Monatsabrechnung!Q230</f>
        <v/>
      </c>
      <c r="H78" s="35">
        <f>IFERROR(G78/D78,0)</f>
        <v/>
      </c>
      <c r="I78" s="148">
        <f>RANK(G78,$G$5:$G$104,0)</f>
        <v/>
      </c>
      <c r="J78" s="149">
        <f>IF(G78&lt;0,RANK(G78,$G$5:$G$104,1),"")</f>
        <v/>
      </c>
    </row>
    <row r="79">
      <c r="A79" s="91">
        <f>Stammdaten!A83</f>
        <v/>
      </c>
      <c r="B79" s="73">
        <f>Stammdaten!B83</f>
        <v/>
      </c>
      <c r="C79" s="73">
        <f>Stammdaten!C83</f>
        <v/>
      </c>
      <c r="D79" s="146">
        <f>Monatsabrechnung!Q231</f>
        <v/>
      </c>
      <c r="E79" s="146">
        <f>Monatsabrechnung!Q232</f>
        <v/>
      </c>
      <c r="F79" s="146">
        <f>Rückstellungen!AQ83</f>
        <v/>
      </c>
      <c r="G79" s="147">
        <f>Monatsabrechnung!Q233</f>
        <v/>
      </c>
      <c r="H79" s="35">
        <f>IFERROR(G79/D79,0)</f>
        <v/>
      </c>
      <c r="I79" s="148">
        <f>RANK(G79,$G$5:$G$104,0)</f>
        <v/>
      </c>
      <c r="J79" s="149">
        <f>IF(G79&lt;0,RANK(G79,$G$5:$G$104,1),"")</f>
        <v/>
      </c>
    </row>
    <row r="80">
      <c r="A80" s="91">
        <f>Stammdaten!A84</f>
        <v/>
      </c>
      <c r="B80" s="73">
        <f>Stammdaten!B84</f>
        <v/>
      </c>
      <c r="C80" s="73">
        <f>Stammdaten!C84</f>
        <v/>
      </c>
      <c r="D80" s="146">
        <f>Monatsabrechnung!Q234</f>
        <v/>
      </c>
      <c r="E80" s="146">
        <f>Monatsabrechnung!Q235</f>
        <v/>
      </c>
      <c r="F80" s="146">
        <f>Rückstellungen!AQ84</f>
        <v/>
      </c>
      <c r="G80" s="147">
        <f>Monatsabrechnung!Q236</f>
        <v/>
      </c>
      <c r="H80" s="35">
        <f>IFERROR(G80/D80,0)</f>
        <v/>
      </c>
      <c r="I80" s="148">
        <f>RANK(G80,$G$5:$G$104,0)</f>
        <v/>
      </c>
      <c r="J80" s="149">
        <f>IF(G80&lt;0,RANK(G80,$G$5:$G$104,1),"")</f>
        <v/>
      </c>
    </row>
    <row r="81">
      <c r="A81" s="91">
        <f>Stammdaten!A85</f>
        <v/>
      </c>
      <c r="B81" s="73">
        <f>Stammdaten!B85</f>
        <v/>
      </c>
      <c r="C81" s="73">
        <f>Stammdaten!C85</f>
        <v/>
      </c>
      <c r="D81" s="146">
        <f>Monatsabrechnung!Q237</f>
        <v/>
      </c>
      <c r="E81" s="146">
        <f>Monatsabrechnung!Q238</f>
        <v/>
      </c>
      <c r="F81" s="146">
        <f>Rückstellungen!AQ85</f>
        <v/>
      </c>
      <c r="G81" s="147">
        <f>Monatsabrechnung!Q239</f>
        <v/>
      </c>
      <c r="H81" s="35">
        <f>IFERROR(G81/D81,0)</f>
        <v/>
      </c>
      <c r="I81" s="148">
        <f>RANK(G81,$G$5:$G$104,0)</f>
        <v/>
      </c>
      <c r="J81" s="149">
        <f>IF(G81&lt;0,RANK(G81,$G$5:$G$104,1),"")</f>
        <v/>
      </c>
    </row>
    <row r="82">
      <c r="A82" s="91">
        <f>Stammdaten!A86</f>
        <v/>
      </c>
      <c r="B82" s="73">
        <f>Stammdaten!B86</f>
        <v/>
      </c>
      <c r="C82" s="73">
        <f>Stammdaten!C86</f>
        <v/>
      </c>
      <c r="D82" s="146">
        <f>Monatsabrechnung!Q240</f>
        <v/>
      </c>
      <c r="E82" s="146">
        <f>Monatsabrechnung!Q241</f>
        <v/>
      </c>
      <c r="F82" s="146">
        <f>Rückstellungen!AQ86</f>
        <v/>
      </c>
      <c r="G82" s="147">
        <f>Monatsabrechnung!Q242</f>
        <v/>
      </c>
      <c r="H82" s="35">
        <f>IFERROR(G82/D82,0)</f>
        <v/>
      </c>
      <c r="I82" s="148">
        <f>RANK(G82,$G$5:$G$104,0)</f>
        <v/>
      </c>
      <c r="J82" s="149">
        <f>IF(G82&lt;0,RANK(G82,$G$5:$G$104,1),"")</f>
        <v/>
      </c>
    </row>
    <row r="83">
      <c r="A83" s="91">
        <f>Stammdaten!A87</f>
        <v/>
      </c>
      <c r="B83" s="73">
        <f>Stammdaten!B87</f>
        <v/>
      </c>
      <c r="C83" s="73">
        <f>Stammdaten!C87</f>
        <v/>
      </c>
      <c r="D83" s="146">
        <f>Monatsabrechnung!Q243</f>
        <v/>
      </c>
      <c r="E83" s="146">
        <f>Monatsabrechnung!Q244</f>
        <v/>
      </c>
      <c r="F83" s="146">
        <f>Rückstellungen!AQ87</f>
        <v/>
      </c>
      <c r="G83" s="147">
        <f>Monatsabrechnung!Q245</f>
        <v/>
      </c>
      <c r="H83" s="35">
        <f>IFERROR(G83/D83,0)</f>
        <v/>
      </c>
      <c r="I83" s="148">
        <f>RANK(G83,$G$5:$G$104,0)</f>
        <v/>
      </c>
      <c r="J83" s="149">
        <f>IF(G83&lt;0,RANK(G83,$G$5:$G$104,1),"")</f>
        <v/>
      </c>
    </row>
    <row r="84">
      <c r="A84" s="91">
        <f>Stammdaten!A88</f>
        <v/>
      </c>
      <c r="B84" s="73">
        <f>Stammdaten!B88</f>
        <v/>
      </c>
      <c r="C84" s="73">
        <f>Stammdaten!C88</f>
        <v/>
      </c>
      <c r="D84" s="146">
        <f>Monatsabrechnung!Q246</f>
        <v/>
      </c>
      <c r="E84" s="146">
        <f>Monatsabrechnung!Q247</f>
        <v/>
      </c>
      <c r="F84" s="146">
        <f>Rückstellungen!AQ88</f>
        <v/>
      </c>
      <c r="G84" s="147">
        <f>Monatsabrechnung!Q248</f>
        <v/>
      </c>
      <c r="H84" s="35">
        <f>IFERROR(G84/D84,0)</f>
        <v/>
      </c>
      <c r="I84" s="148">
        <f>RANK(G84,$G$5:$G$104,0)</f>
        <v/>
      </c>
      <c r="J84" s="149">
        <f>IF(G84&lt;0,RANK(G84,$G$5:$G$104,1),"")</f>
        <v/>
      </c>
    </row>
    <row r="85">
      <c r="A85" s="89">
        <f>Stammdaten!A89</f>
        <v/>
      </c>
      <c r="B85" s="67">
        <f>Stammdaten!B89</f>
        <v/>
      </c>
      <c r="C85" s="67">
        <f>Stammdaten!C89</f>
        <v/>
      </c>
      <c r="D85" s="142">
        <f>Monatsabrechnung!Q249</f>
        <v/>
      </c>
      <c r="E85" s="142">
        <f>Monatsabrechnung!Q250</f>
        <v/>
      </c>
      <c r="F85" s="142">
        <f>Rückstellungen!AQ89</f>
        <v/>
      </c>
      <c r="G85" s="143">
        <f>Monatsabrechnung!Q251</f>
        <v/>
      </c>
      <c r="H85" s="29">
        <f>IFERROR(G85/D85,0)</f>
        <v/>
      </c>
      <c r="I85" s="144">
        <f>RANK(G85,$G$5:$G$104,0)</f>
        <v/>
      </c>
      <c r="J85" s="145">
        <f>IF(G85&lt;0,RANK(G85,$G$5:$G$104,1),"")</f>
        <v/>
      </c>
    </row>
    <row r="86">
      <c r="A86" s="89">
        <f>Stammdaten!A90</f>
        <v/>
      </c>
      <c r="B86" s="67">
        <f>Stammdaten!B90</f>
        <v/>
      </c>
      <c r="C86" s="67">
        <f>Stammdaten!C90</f>
        <v/>
      </c>
      <c r="D86" s="142">
        <f>Monatsabrechnung!Q252</f>
        <v/>
      </c>
      <c r="E86" s="142">
        <f>Monatsabrechnung!Q253</f>
        <v/>
      </c>
      <c r="F86" s="142">
        <f>Rückstellungen!AQ90</f>
        <v/>
      </c>
      <c r="G86" s="143">
        <f>Monatsabrechnung!Q254</f>
        <v/>
      </c>
      <c r="H86" s="29">
        <f>IFERROR(G86/D86,0)</f>
        <v/>
      </c>
      <c r="I86" s="144">
        <f>RANK(G86,$G$5:$G$104,0)</f>
        <v/>
      </c>
      <c r="J86" s="145">
        <f>IF(G86&lt;0,RANK(G86,$G$5:$G$104,1),"")</f>
        <v/>
      </c>
    </row>
    <row r="87">
      <c r="A87" s="89">
        <f>Stammdaten!A91</f>
        <v/>
      </c>
      <c r="B87" s="67">
        <f>Stammdaten!B91</f>
        <v/>
      </c>
      <c r="C87" s="67">
        <f>Stammdaten!C91</f>
        <v/>
      </c>
      <c r="D87" s="142">
        <f>Monatsabrechnung!Q255</f>
        <v/>
      </c>
      <c r="E87" s="142">
        <f>Monatsabrechnung!Q256</f>
        <v/>
      </c>
      <c r="F87" s="142">
        <f>Rückstellungen!AQ91</f>
        <v/>
      </c>
      <c r="G87" s="143">
        <f>Monatsabrechnung!Q257</f>
        <v/>
      </c>
      <c r="H87" s="29">
        <f>IFERROR(G87/D87,0)</f>
        <v/>
      </c>
      <c r="I87" s="144">
        <f>RANK(G87,$G$5:$G$104,0)</f>
        <v/>
      </c>
      <c r="J87" s="145">
        <f>IF(G87&lt;0,RANK(G87,$G$5:$G$104,1),"")</f>
        <v/>
      </c>
    </row>
    <row r="88">
      <c r="A88" s="89">
        <f>Stammdaten!A92</f>
        <v/>
      </c>
      <c r="B88" s="67">
        <f>Stammdaten!B92</f>
        <v/>
      </c>
      <c r="C88" s="67">
        <f>Stammdaten!C92</f>
        <v/>
      </c>
      <c r="D88" s="142">
        <f>Monatsabrechnung!Q258</f>
        <v/>
      </c>
      <c r="E88" s="142">
        <f>Monatsabrechnung!Q259</f>
        <v/>
      </c>
      <c r="F88" s="142">
        <f>Rückstellungen!AQ92</f>
        <v/>
      </c>
      <c r="G88" s="143">
        <f>Monatsabrechnung!Q260</f>
        <v/>
      </c>
      <c r="H88" s="29">
        <f>IFERROR(G88/D88,0)</f>
        <v/>
      </c>
      <c r="I88" s="144">
        <f>RANK(G88,$G$5:$G$104,0)</f>
        <v/>
      </c>
      <c r="J88" s="145">
        <f>IF(G88&lt;0,RANK(G88,$G$5:$G$104,1),"")</f>
        <v/>
      </c>
    </row>
    <row r="89">
      <c r="A89" s="89">
        <f>Stammdaten!A93</f>
        <v/>
      </c>
      <c r="B89" s="67">
        <f>Stammdaten!B93</f>
        <v/>
      </c>
      <c r="C89" s="67">
        <f>Stammdaten!C93</f>
        <v/>
      </c>
      <c r="D89" s="142">
        <f>Monatsabrechnung!Q261</f>
        <v/>
      </c>
      <c r="E89" s="142">
        <f>Monatsabrechnung!Q262</f>
        <v/>
      </c>
      <c r="F89" s="142">
        <f>Rückstellungen!AQ93</f>
        <v/>
      </c>
      <c r="G89" s="143">
        <f>Monatsabrechnung!Q263</f>
        <v/>
      </c>
      <c r="H89" s="29">
        <f>IFERROR(G89/D89,0)</f>
        <v/>
      </c>
      <c r="I89" s="144">
        <f>RANK(G89,$G$5:$G$104,0)</f>
        <v/>
      </c>
      <c r="J89" s="145">
        <f>IF(G89&lt;0,RANK(G89,$G$5:$G$104,1),"")</f>
        <v/>
      </c>
    </row>
    <row r="90">
      <c r="A90" s="89">
        <f>Stammdaten!A94</f>
        <v/>
      </c>
      <c r="B90" s="67">
        <f>Stammdaten!B94</f>
        <v/>
      </c>
      <c r="C90" s="67">
        <f>Stammdaten!C94</f>
        <v/>
      </c>
      <c r="D90" s="142">
        <f>Monatsabrechnung!Q264</f>
        <v/>
      </c>
      <c r="E90" s="142">
        <f>Monatsabrechnung!Q265</f>
        <v/>
      </c>
      <c r="F90" s="142">
        <f>Rückstellungen!AQ94</f>
        <v/>
      </c>
      <c r="G90" s="143">
        <f>Monatsabrechnung!Q266</f>
        <v/>
      </c>
      <c r="H90" s="29">
        <f>IFERROR(G90/D90,0)</f>
        <v/>
      </c>
      <c r="I90" s="144">
        <f>RANK(G90,$G$5:$G$104,0)</f>
        <v/>
      </c>
      <c r="J90" s="145">
        <f>IF(G90&lt;0,RANK(G90,$G$5:$G$104,1),"")</f>
        <v/>
      </c>
    </row>
    <row r="91">
      <c r="A91" s="89">
        <f>Stammdaten!A95</f>
        <v/>
      </c>
      <c r="B91" s="67">
        <f>Stammdaten!B95</f>
        <v/>
      </c>
      <c r="C91" s="67">
        <f>Stammdaten!C95</f>
        <v/>
      </c>
      <c r="D91" s="142">
        <f>Monatsabrechnung!Q267</f>
        <v/>
      </c>
      <c r="E91" s="142">
        <f>Monatsabrechnung!Q268</f>
        <v/>
      </c>
      <c r="F91" s="142">
        <f>Rückstellungen!AQ95</f>
        <v/>
      </c>
      <c r="G91" s="143">
        <f>Monatsabrechnung!Q269</f>
        <v/>
      </c>
      <c r="H91" s="29">
        <f>IFERROR(G91/D91,0)</f>
        <v/>
      </c>
      <c r="I91" s="144">
        <f>RANK(G91,$G$5:$G$104,0)</f>
        <v/>
      </c>
      <c r="J91" s="145">
        <f>IF(G91&lt;0,RANK(G91,$G$5:$G$104,1),"")</f>
        <v/>
      </c>
    </row>
    <row r="92">
      <c r="A92" s="89">
        <f>Stammdaten!A96</f>
        <v/>
      </c>
      <c r="B92" s="67">
        <f>Stammdaten!B96</f>
        <v/>
      </c>
      <c r="C92" s="67">
        <f>Stammdaten!C96</f>
        <v/>
      </c>
      <c r="D92" s="142">
        <f>Monatsabrechnung!Q270</f>
        <v/>
      </c>
      <c r="E92" s="142">
        <f>Monatsabrechnung!Q271</f>
        <v/>
      </c>
      <c r="F92" s="142">
        <f>Rückstellungen!AQ96</f>
        <v/>
      </c>
      <c r="G92" s="143">
        <f>Monatsabrechnung!Q272</f>
        <v/>
      </c>
      <c r="H92" s="29">
        <f>IFERROR(G92/D92,0)</f>
        <v/>
      </c>
      <c r="I92" s="144">
        <f>RANK(G92,$G$5:$G$104,0)</f>
        <v/>
      </c>
      <c r="J92" s="145">
        <f>IF(G92&lt;0,RANK(G92,$G$5:$G$104,1),"")</f>
        <v/>
      </c>
    </row>
    <row r="93">
      <c r="A93" s="89">
        <f>Stammdaten!A97</f>
        <v/>
      </c>
      <c r="B93" s="67">
        <f>Stammdaten!B97</f>
        <v/>
      </c>
      <c r="C93" s="67">
        <f>Stammdaten!C97</f>
        <v/>
      </c>
      <c r="D93" s="142">
        <f>Monatsabrechnung!Q273</f>
        <v/>
      </c>
      <c r="E93" s="142">
        <f>Monatsabrechnung!Q274</f>
        <v/>
      </c>
      <c r="F93" s="142">
        <f>Rückstellungen!AQ97</f>
        <v/>
      </c>
      <c r="G93" s="143">
        <f>Monatsabrechnung!Q275</f>
        <v/>
      </c>
      <c r="H93" s="29">
        <f>IFERROR(G93/D93,0)</f>
        <v/>
      </c>
      <c r="I93" s="144">
        <f>RANK(G93,$G$5:$G$104,0)</f>
        <v/>
      </c>
      <c r="J93" s="145">
        <f>IF(G93&lt;0,RANK(G93,$G$5:$G$104,1),"")</f>
        <v/>
      </c>
    </row>
    <row r="94">
      <c r="A94" s="89">
        <f>Stammdaten!A98</f>
        <v/>
      </c>
      <c r="B94" s="67">
        <f>Stammdaten!B98</f>
        <v/>
      </c>
      <c r="C94" s="67">
        <f>Stammdaten!C98</f>
        <v/>
      </c>
      <c r="D94" s="142">
        <f>Monatsabrechnung!Q276</f>
        <v/>
      </c>
      <c r="E94" s="142">
        <f>Monatsabrechnung!Q277</f>
        <v/>
      </c>
      <c r="F94" s="142">
        <f>Rückstellungen!AQ98</f>
        <v/>
      </c>
      <c r="G94" s="143">
        <f>Monatsabrechnung!Q278</f>
        <v/>
      </c>
      <c r="H94" s="29">
        <f>IFERROR(G94/D94,0)</f>
        <v/>
      </c>
      <c r="I94" s="144">
        <f>RANK(G94,$G$5:$G$104,0)</f>
        <v/>
      </c>
      <c r="J94" s="145">
        <f>IF(G94&lt;0,RANK(G94,$G$5:$G$104,1),"")</f>
        <v/>
      </c>
    </row>
    <row r="95">
      <c r="A95" s="91">
        <f>Stammdaten!A99</f>
        <v/>
      </c>
      <c r="B95" s="73">
        <f>Stammdaten!B99</f>
        <v/>
      </c>
      <c r="C95" s="73">
        <f>Stammdaten!C99</f>
        <v/>
      </c>
      <c r="D95" s="146">
        <f>Monatsabrechnung!Q279</f>
        <v/>
      </c>
      <c r="E95" s="146">
        <f>Monatsabrechnung!Q280</f>
        <v/>
      </c>
      <c r="F95" s="146">
        <f>Rückstellungen!AQ99</f>
        <v/>
      </c>
      <c r="G95" s="147">
        <f>Monatsabrechnung!Q281</f>
        <v/>
      </c>
      <c r="H95" s="35">
        <f>IFERROR(G95/D95,0)</f>
        <v/>
      </c>
      <c r="I95" s="148">
        <f>RANK(G95,$G$5:$G$104,0)</f>
        <v/>
      </c>
      <c r="J95" s="149">
        <f>IF(G95&lt;0,RANK(G95,$G$5:$G$104,1),"")</f>
        <v/>
      </c>
    </row>
    <row r="96">
      <c r="A96" s="91">
        <f>Stammdaten!A100</f>
        <v/>
      </c>
      <c r="B96" s="73">
        <f>Stammdaten!B100</f>
        <v/>
      </c>
      <c r="C96" s="73">
        <f>Stammdaten!C100</f>
        <v/>
      </c>
      <c r="D96" s="146">
        <f>Monatsabrechnung!Q282</f>
        <v/>
      </c>
      <c r="E96" s="146">
        <f>Monatsabrechnung!Q283</f>
        <v/>
      </c>
      <c r="F96" s="146">
        <f>Rückstellungen!AQ100</f>
        <v/>
      </c>
      <c r="G96" s="147">
        <f>Monatsabrechnung!Q284</f>
        <v/>
      </c>
      <c r="H96" s="35">
        <f>IFERROR(G96/D96,0)</f>
        <v/>
      </c>
      <c r="I96" s="148">
        <f>RANK(G96,$G$5:$G$104,0)</f>
        <v/>
      </c>
      <c r="J96" s="149">
        <f>IF(G96&lt;0,RANK(G96,$G$5:$G$104,1),"")</f>
        <v/>
      </c>
    </row>
    <row r="97">
      <c r="A97" s="91">
        <f>Stammdaten!A101</f>
        <v/>
      </c>
      <c r="B97" s="73">
        <f>Stammdaten!B101</f>
        <v/>
      </c>
      <c r="C97" s="73">
        <f>Stammdaten!C101</f>
        <v/>
      </c>
      <c r="D97" s="146">
        <f>Monatsabrechnung!Q285</f>
        <v/>
      </c>
      <c r="E97" s="146">
        <f>Monatsabrechnung!Q286</f>
        <v/>
      </c>
      <c r="F97" s="146">
        <f>Rückstellungen!AQ101</f>
        <v/>
      </c>
      <c r="G97" s="147">
        <f>Monatsabrechnung!Q287</f>
        <v/>
      </c>
      <c r="H97" s="35">
        <f>IFERROR(G97/D97,0)</f>
        <v/>
      </c>
      <c r="I97" s="148">
        <f>RANK(G97,$G$5:$G$104,0)</f>
        <v/>
      </c>
      <c r="J97" s="149">
        <f>IF(G97&lt;0,RANK(G97,$G$5:$G$104,1),"")</f>
        <v/>
      </c>
    </row>
    <row r="98">
      <c r="A98" s="91">
        <f>Stammdaten!A102</f>
        <v/>
      </c>
      <c r="B98" s="73">
        <f>Stammdaten!B102</f>
        <v/>
      </c>
      <c r="C98" s="73">
        <f>Stammdaten!C102</f>
        <v/>
      </c>
      <c r="D98" s="146">
        <f>Monatsabrechnung!Q288</f>
        <v/>
      </c>
      <c r="E98" s="146">
        <f>Monatsabrechnung!Q289</f>
        <v/>
      </c>
      <c r="F98" s="146">
        <f>Rückstellungen!AQ102</f>
        <v/>
      </c>
      <c r="G98" s="147">
        <f>Monatsabrechnung!Q290</f>
        <v/>
      </c>
      <c r="H98" s="35">
        <f>IFERROR(G98/D98,0)</f>
        <v/>
      </c>
      <c r="I98" s="148">
        <f>RANK(G98,$G$5:$G$104,0)</f>
        <v/>
      </c>
      <c r="J98" s="149">
        <f>IF(G98&lt;0,RANK(G98,$G$5:$G$104,1),"")</f>
        <v/>
      </c>
    </row>
    <row r="99">
      <c r="A99" s="91">
        <f>Stammdaten!A103</f>
        <v/>
      </c>
      <c r="B99" s="73">
        <f>Stammdaten!B103</f>
        <v/>
      </c>
      <c r="C99" s="73">
        <f>Stammdaten!C103</f>
        <v/>
      </c>
      <c r="D99" s="146">
        <f>Monatsabrechnung!Q291</f>
        <v/>
      </c>
      <c r="E99" s="146">
        <f>Monatsabrechnung!Q292</f>
        <v/>
      </c>
      <c r="F99" s="146">
        <f>Rückstellungen!AQ103</f>
        <v/>
      </c>
      <c r="G99" s="147">
        <f>Monatsabrechnung!Q293</f>
        <v/>
      </c>
      <c r="H99" s="35">
        <f>IFERROR(G99/D99,0)</f>
        <v/>
      </c>
      <c r="I99" s="148">
        <f>RANK(G99,$G$5:$G$104,0)</f>
        <v/>
      </c>
      <c r="J99" s="149">
        <f>IF(G99&lt;0,RANK(G99,$G$5:$G$104,1),"")</f>
        <v/>
      </c>
    </row>
    <row r="100">
      <c r="A100" s="91">
        <f>Stammdaten!A104</f>
        <v/>
      </c>
      <c r="B100" s="73">
        <f>Stammdaten!B104</f>
        <v/>
      </c>
      <c r="C100" s="73">
        <f>Stammdaten!C104</f>
        <v/>
      </c>
      <c r="D100" s="146">
        <f>Monatsabrechnung!Q294</f>
        <v/>
      </c>
      <c r="E100" s="146">
        <f>Monatsabrechnung!Q295</f>
        <v/>
      </c>
      <c r="F100" s="146">
        <f>Rückstellungen!AQ104</f>
        <v/>
      </c>
      <c r="G100" s="147">
        <f>Monatsabrechnung!Q296</f>
        <v/>
      </c>
      <c r="H100" s="35">
        <f>IFERROR(G100/D100,0)</f>
        <v/>
      </c>
      <c r="I100" s="148">
        <f>RANK(G100,$G$5:$G$104,0)</f>
        <v/>
      </c>
      <c r="J100" s="149">
        <f>IF(G100&lt;0,RANK(G100,$G$5:$G$104,1),"")</f>
        <v/>
      </c>
    </row>
    <row r="101">
      <c r="A101" s="91">
        <f>Stammdaten!A105</f>
        <v/>
      </c>
      <c r="B101" s="73">
        <f>Stammdaten!B105</f>
        <v/>
      </c>
      <c r="C101" s="73">
        <f>Stammdaten!C105</f>
        <v/>
      </c>
      <c r="D101" s="146">
        <f>Monatsabrechnung!Q297</f>
        <v/>
      </c>
      <c r="E101" s="146">
        <f>Monatsabrechnung!Q298</f>
        <v/>
      </c>
      <c r="F101" s="146">
        <f>Rückstellungen!AQ105</f>
        <v/>
      </c>
      <c r="G101" s="147">
        <f>Monatsabrechnung!Q299</f>
        <v/>
      </c>
      <c r="H101" s="35">
        <f>IFERROR(G101/D101,0)</f>
        <v/>
      </c>
      <c r="I101" s="148">
        <f>RANK(G101,$G$5:$G$104,0)</f>
        <v/>
      </c>
      <c r="J101" s="149">
        <f>IF(G101&lt;0,RANK(G101,$G$5:$G$104,1),"")</f>
        <v/>
      </c>
    </row>
    <row r="102">
      <c r="A102" s="91">
        <f>Stammdaten!A106</f>
        <v/>
      </c>
      <c r="B102" s="73">
        <f>Stammdaten!B106</f>
        <v/>
      </c>
      <c r="C102" s="73">
        <f>Stammdaten!C106</f>
        <v/>
      </c>
      <c r="D102" s="146">
        <f>Monatsabrechnung!Q300</f>
        <v/>
      </c>
      <c r="E102" s="146">
        <f>Monatsabrechnung!Q301</f>
        <v/>
      </c>
      <c r="F102" s="146">
        <f>Rückstellungen!AQ106</f>
        <v/>
      </c>
      <c r="G102" s="147">
        <f>Monatsabrechnung!Q302</f>
        <v/>
      </c>
      <c r="H102" s="35">
        <f>IFERROR(G102/D102,0)</f>
        <v/>
      </c>
      <c r="I102" s="148">
        <f>RANK(G102,$G$5:$G$104,0)</f>
        <v/>
      </c>
      <c r="J102" s="149">
        <f>IF(G102&lt;0,RANK(G102,$G$5:$G$104,1),"")</f>
        <v/>
      </c>
    </row>
    <row r="103">
      <c r="A103" s="91">
        <f>Stammdaten!A107</f>
        <v/>
      </c>
      <c r="B103" s="73">
        <f>Stammdaten!B107</f>
        <v/>
      </c>
      <c r="C103" s="73">
        <f>Stammdaten!C107</f>
        <v/>
      </c>
      <c r="D103" s="146">
        <f>Monatsabrechnung!Q303</f>
        <v/>
      </c>
      <c r="E103" s="146">
        <f>Monatsabrechnung!Q304</f>
        <v/>
      </c>
      <c r="F103" s="146">
        <f>Rückstellungen!AQ107</f>
        <v/>
      </c>
      <c r="G103" s="147">
        <f>Monatsabrechnung!Q305</f>
        <v/>
      </c>
      <c r="H103" s="35">
        <f>IFERROR(G103/D103,0)</f>
        <v/>
      </c>
      <c r="I103" s="148">
        <f>RANK(G103,$G$5:$G$104,0)</f>
        <v/>
      </c>
      <c r="J103" s="149">
        <f>IF(G103&lt;0,RANK(G103,$G$5:$G$104,1),"")</f>
        <v/>
      </c>
    </row>
    <row r="104">
      <c r="A104" s="91">
        <f>Stammdaten!A108</f>
        <v/>
      </c>
      <c r="B104" s="73">
        <f>Stammdaten!B108</f>
        <v/>
      </c>
      <c r="C104" s="73">
        <f>Stammdaten!C108</f>
        <v/>
      </c>
      <c r="D104" s="146">
        <f>Monatsabrechnung!Q306</f>
        <v/>
      </c>
      <c r="E104" s="146">
        <f>Monatsabrechnung!Q307</f>
        <v/>
      </c>
      <c r="F104" s="146">
        <f>Rückstellungen!AQ108</f>
        <v/>
      </c>
      <c r="G104" s="147">
        <f>Monatsabrechnung!Q308</f>
        <v/>
      </c>
      <c r="H104" s="35">
        <f>IFERROR(G104/D104,0)</f>
        <v/>
      </c>
      <c r="I104" s="148">
        <f>RANK(G104,$G$5:$G$104,0)</f>
        <v/>
      </c>
      <c r="J104" s="149">
        <f>IF(G104&lt;0,RANK(G104,$G$5:$G$104,1),"")</f>
        <v/>
      </c>
    </row>
    <row r="106" ht="10" customHeight="1"/>
    <row r="107">
      <c r="A107" s="104" t="inlineStr">
        <is>
          <t>Kunden-Auswertung — Rohdaten (Basis für Rang)</t>
        </is>
      </c>
    </row>
    <row r="108" ht="30" customHeight="1">
      <c r="A108" s="107" t="inlineStr">
        <is>
          <t>Kunde</t>
        </is>
      </c>
      <c r="B108" s="107" t="inlineStr">
        <is>
          <t>Verrechnung
Jahr</t>
        </is>
      </c>
      <c r="C108" s="107" t="inlineStr">
        <is>
          <t>Selbstkosten
Jahr</t>
        </is>
      </c>
      <c r="D108" s="107" t="inlineStr">
        <is>
          <t>Abgaben &amp;
Rückstellungen Jahr</t>
        </is>
      </c>
      <c r="E108" s="107" t="inlineStr">
        <is>
          <t>DB1
Jahr</t>
        </is>
      </c>
      <c r="F108" s="107" t="inlineStr">
        <is>
          <t>DB1-Marge
%</t>
        </is>
      </c>
      <c r="G108" s="107" t="inlineStr">
        <is>
          <t>Rang</t>
        </is>
      </c>
    </row>
    <row r="109">
      <c r="A109" s="67">
        <f>Stammdaten!B9</f>
        <v/>
      </c>
      <c r="B109" s="40">
        <f>SUMIF($B$5:$B$104,$A109,$D$5:$D$104)</f>
        <v/>
      </c>
      <c r="C109" s="40">
        <f>SUMIF($B$5:$B$104,$A109,$E$5:$E$104)</f>
        <v/>
      </c>
      <c r="D109" s="40">
        <f>SUMIF($B$5:$B$104,$A109,$F$5:$F$104)</f>
        <v/>
      </c>
      <c r="E109" s="28">
        <f>SUMIF($B$5:$B$104,$A109,$G$5:$G$104)</f>
        <v/>
      </c>
      <c r="F109" s="29">
        <f>IFERROR(E109/B109,0)</f>
        <v/>
      </c>
      <c r="G109" s="144">
        <f>RANK(E109,$E$109:$E$118,0)</f>
        <v/>
      </c>
    </row>
    <row r="110">
      <c r="A110" s="67">
        <f>Stammdaten!B19</f>
        <v/>
      </c>
      <c r="B110" s="40">
        <f>SUMIF($B$5:$B$104,$A110,$D$5:$D$104)</f>
        <v/>
      </c>
      <c r="C110" s="40">
        <f>SUMIF($B$5:$B$104,$A110,$E$5:$E$104)</f>
        <v/>
      </c>
      <c r="D110" s="40">
        <f>SUMIF($B$5:$B$104,$A110,$F$5:$F$104)</f>
        <v/>
      </c>
      <c r="E110" s="28">
        <f>SUMIF($B$5:$B$104,$A110,$G$5:$G$104)</f>
        <v/>
      </c>
      <c r="F110" s="29">
        <f>IFERROR(E110/B110,0)</f>
        <v/>
      </c>
      <c r="G110" s="144">
        <f>RANK(E110,$E$109:$E$118,0)</f>
        <v/>
      </c>
    </row>
    <row r="111">
      <c r="A111" s="67">
        <f>Stammdaten!B29</f>
        <v/>
      </c>
      <c r="B111" s="40">
        <f>SUMIF($B$5:$B$104,$A111,$D$5:$D$104)</f>
        <v/>
      </c>
      <c r="C111" s="40">
        <f>SUMIF($B$5:$B$104,$A111,$E$5:$E$104)</f>
        <v/>
      </c>
      <c r="D111" s="40">
        <f>SUMIF($B$5:$B$104,$A111,$F$5:$F$104)</f>
        <v/>
      </c>
      <c r="E111" s="28">
        <f>SUMIF($B$5:$B$104,$A111,$G$5:$G$104)</f>
        <v/>
      </c>
      <c r="F111" s="29">
        <f>IFERROR(E111/B111,0)</f>
        <v/>
      </c>
      <c r="G111" s="144">
        <f>RANK(E111,$E$109:$E$118,0)</f>
        <v/>
      </c>
    </row>
    <row r="112">
      <c r="A112" s="67">
        <f>Stammdaten!B39</f>
        <v/>
      </c>
      <c r="B112" s="40">
        <f>SUMIF($B$5:$B$104,$A112,$D$5:$D$104)</f>
        <v/>
      </c>
      <c r="C112" s="40">
        <f>SUMIF($B$5:$B$104,$A112,$E$5:$E$104)</f>
        <v/>
      </c>
      <c r="D112" s="40">
        <f>SUMIF($B$5:$B$104,$A112,$F$5:$F$104)</f>
        <v/>
      </c>
      <c r="E112" s="28">
        <f>SUMIF($B$5:$B$104,$A112,$G$5:$G$104)</f>
        <v/>
      </c>
      <c r="F112" s="29">
        <f>IFERROR(E112/B112,0)</f>
        <v/>
      </c>
      <c r="G112" s="144">
        <f>RANK(E112,$E$109:$E$118,0)</f>
        <v/>
      </c>
    </row>
    <row r="113">
      <c r="A113" s="67">
        <f>Stammdaten!B49</f>
        <v/>
      </c>
      <c r="B113" s="40">
        <f>SUMIF($B$5:$B$104,$A113,$D$5:$D$104)</f>
        <v/>
      </c>
      <c r="C113" s="40">
        <f>SUMIF($B$5:$B$104,$A113,$E$5:$E$104)</f>
        <v/>
      </c>
      <c r="D113" s="40">
        <f>SUMIF($B$5:$B$104,$A113,$F$5:$F$104)</f>
        <v/>
      </c>
      <c r="E113" s="28">
        <f>SUMIF($B$5:$B$104,$A113,$G$5:$G$104)</f>
        <v/>
      </c>
      <c r="F113" s="29">
        <f>IFERROR(E113/B113,0)</f>
        <v/>
      </c>
      <c r="G113" s="144">
        <f>RANK(E113,$E$109:$E$118,0)</f>
        <v/>
      </c>
    </row>
    <row r="114">
      <c r="A114" s="67">
        <f>Stammdaten!B59</f>
        <v/>
      </c>
      <c r="B114" s="40">
        <f>SUMIF($B$5:$B$104,$A114,$D$5:$D$104)</f>
        <v/>
      </c>
      <c r="C114" s="40">
        <f>SUMIF($B$5:$B$104,$A114,$E$5:$E$104)</f>
        <v/>
      </c>
      <c r="D114" s="40">
        <f>SUMIF($B$5:$B$104,$A114,$F$5:$F$104)</f>
        <v/>
      </c>
      <c r="E114" s="28">
        <f>SUMIF($B$5:$B$104,$A114,$G$5:$G$104)</f>
        <v/>
      </c>
      <c r="F114" s="29">
        <f>IFERROR(E114/B114,0)</f>
        <v/>
      </c>
      <c r="G114" s="144">
        <f>RANK(E114,$E$109:$E$118,0)</f>
        <v/>
      </c>
    </row>
    <row r="115">
      <c r="A115" s="67">
        <f>Stammdaten!B69</f>
        <v/>
      </c>
      <c r="B115" s="40">
        <f>SUMIF($B$5:$B$104,$A115,$D$5:$D$104)</f>
        <v/>
      </c>
      <c r="C115" s="40">
        <f>SUMIF($B$5:$B$104,$A115,$E$5:$E$104)</f>
        <v/>
      </c>
      <c r="D115" s="40">
        <f>SUMIF($B$5:$B$104,$A115,$F$5:$F$104)</f>
        <v/>
      </c>
      <c r="E115" s="28">
        <f>SUMIF($B$5:$B$104,$A115,$G$5:$G$104)</f>
        <v/>
      </c>
      <c r="F115" s="29">
        <f>IFERROR(E115/B115,0)</f>
        <v/>
      </c>
      <c r="G115" s="144">
        <f>RANK(E115,$E$109:$E$118,0)</f>
        <v/>
      </c>
    </row>
    <row r="116">
      <c r="A116" s="67">
        <f>Stammdaten!B79</f>
        <v/>
      </c>
      <c r="B116" s="40">
        <f>SUMIF($B$5:$B$104,$A116,$D$5:$D$104)</f>
        <v/>
      </c>
      <c r="C116" s="40">
        <f>SUMIF($B$5:$B$104,$A116,$E$5:$E$104)</f>
        <v/>
      </c>
      <c r="D116" s="40">
        <f>SUMIF($B$5:$B$104,$A116,$F$5:$F$104)</f>
        <v/>
      </c>
      <c r="E116" s="28">
        <f>SUMIF($B$5:$B$104,$A116,$G$5:$G$104)</f>
        <v/>
      </c>
      <c r="F116" s="29">
        <f>IFERROR(E116/B116,0)</f>
        <v/>
      </c>
      <c r="G116" s="144">
        <f>RANK(E116,$E$109:$E$118,0)</f>
        <v/>
      </c>
    </row>
    <row r="117">
      <c r="A117" s="67">
        <f>Stammdaten!B89</f>
        <v/>
      </c>
      <c r="B117" s="40">
        <f>SUMIF($B$5:$B$104,$A117,$D$5:$D$104)</f>
        <v/>
      </c>
      <c r="C117" s="40">
        <f>SUMIF($B$5:$B$104,$A117,$E$5:$E$104)</f>
        <v/>
      </c>
      <c r="D117" s="40">
        <f>SUMIF($B$5:$B$104,$A117,$F$5:$F$104)</f>
        <v/>
      </c>
      <c r="E117" s="28">
        <f>SUMIF($B$5:$B$104,$A117,$G$5:$G$104)</f>
        <v/>
      </c>
      <c r="F117" s="29">
        <f>IFERROR(E117/B117,0)</f>
        <v/>
      </c>
      <c r="G117" s="144">
        <f>RANK(E117,$E$109:$E$118,0)</f>
        <v/>
      </c>
    </row>
    <row r="118">
      <c r="A118" s="67">
        <f>Stammdaten!B99</f>
        <v/>
      </c>
      <c r="B118" s="40">
        <f>SUMIF($B$5:$B$104,$A118,$D$5:$D$104)</f>
        <v/>
      </c>
      <c r="C118" s="40">
        <f>SUMIF($B$5:$B$104,$A118,$E$5:$E$104)</f>
        <v/>
      </c>
      <c r="D118" s="40">
        <f>SUMIF($B$5:$B$104,$A118,$F$5:$F$104)</f>
        <v/>
      </c>
      <c r="E118" s="28">
        <f>SUMIF($B$5:$B$104,$A118,$G$5:$G$104)</f>
        <v/>
      </c>
      <c r="F118" s="29">
        <f>IFERROR(E118/B118,0)</f>
        <v/>
      </c>
      <c r="G118" s="144">
        <f>RANK(E118,$E$109:$E$118,0)</f>
        <v/>
      </c>
    </row>
    <row r="119" ht="10" customHeight="1"/>
    <row r="120">
      <c r="A120" s="104" t="inlineStr">
        <is>
          <t>Kunden sortiert nach DB1 (Rang 1–10)</t>
        </is>
      </c>
    </row>
    <row r="121" ht="30" customHeight="1">
      <c r="A121" s="107" t="inlineStr">
        <is>
          <t>Rang</t>
        </is>
      </c>
      <c r="B121" s="107" t="inlineStr">
        <is>
          <t>Kunde</t>
        </is>
      </c>
      <c r="C121" s="107" t="inlineStr">
        <is>
          <t>Verrechnung
Jahr</t>
        </is>
      </c>
      <c r="D121" s="107" t="inlineStr">
        <is>
          <t>DB1
Jahr</t>
        </is>
      </c>
      <c r="E121" s="107" t="inlineStr">
        <is>
          <t>DB1-Marge
%</t>
        </is>
      </c>
    </row>
    <row r="122">
      <c r="A122" s="25" t="n">
        <v>1</v>
      </c>
      <c r="B122" s="38">
        <f>IFERROR(INDEX($A$109:$A$118,MATCH(A122,$G$109:$G$118,0)),"")</f>
        <v/>
      </c>
      <c r="C122" s="40">
        <f>IFERROR(INDEX($B$109:$B$118,MATCH(A122,$G$109:$G$118,0)),"")</f>
        <v/>
      </c>
      <c r="D122" s="28">
        <f>IFERROR(INDEX($E$109:$E$118,MATCH(A122,$G$109:$G$118,0)),"")</f>
        <v/>
      </c>
      <c r="E122" s="29">
        <f>IFERROR(INDEX($F$109:$F$118,MATCH(A122,$G$109:$G$118,0)),"")</f>
        <v/>
      </c>
    </row>
    <row r="123">
      <c r="A123" s="31" t="n">
        <v>2</v>
      </c>
      <c r="B123" s="41">
        <f>IFERROR(INDEX($A$109:$A$118,MATCH(A123,$G$109:$G$118,0)),"")</f>
        <v/>
      </c>
      <c r="C123" s="43">
        <f>IFERROR(INDEX($B$109:$B$118,MATCH(A123,$G$109:$G$118,0)),"")</f>
        <v/>
      </c>
      <c r="D123" s="34">
        <f>IFERROR(INDEX($E$109:$E$118,MATCH(A123,$G$109:$G$118,0)),"")</f>
        <v/>
      </c>
      <c r="E123" s="35">
        <f>IFERROR(INDEX($F$109:$F$118,MATCH(A123,$G$109:$G$118,0)),"")</f>
        <v/>
      </c>
    </row>
    <row r="124">
      <c r="A124" s="25" t="n">
        <v>3</v>
      </c>
      <c r="B124" s="38">
        <f>IFERROR(INDEX($A$109:$A$118,MATCH(A124,$G$109:$G$118,0)),"")</f>
        <v/>
      </c>
      <c r="C124" s="40">
        <f>IFERROR(INDEX($B$109:$B$118,MATCH(A124,$G$109:$G$118,0)),"")</f>
        <v/>
      </c>
      <c r="D124" s="28">
        <f>IFERROR(INDEX($E$109:$E$118,MATCH(A124,$G$109:$G$118,0)),"")</f>
        <v/>
      </c>
      <c r="E124" s="29">
        <f>IFERROR(INDEX($F$109:$F$118,MATCH(A124,$G$109:$G$118,0)),"")</f>
        <v/>
      </c>
    </row>
    <row r="125">
      <c r="A125" s="31" t="n">
        <v>4</v>
      </c>
      <c r="B125" s="41">
        <f>IFERROR(INDEX($A$109:$A$118,MATCH(A125,$G$109:$G$118,0)),"")</f>
        <v/>
      </c>
      <c r="C125" s="43">
        <f>IFERROR(INDEX($B$109:$B$118,MATCH(A125,$G$109:$G$118,0)),"")</f>
        <v/>
      </c>
      <c r="D125" s="34">
        <f>IFERROR(INDEX($E$109:$E$118,MATCH(A125,$G$109:$G$118,0)),"")</f>
        <v/>
      </c>
      <c r="E125" s="35">
        <f>IFERROR(INDEX($F$109:$F$118,MATCH(A125,$G$109:$G$118,0)),"")</f>
        <v/>
      </c>
    </row>
    <row r="126">
      <c r="A126" s="25" t="n">
        <v>5</v>
      </c>
      <c r="B126" s="38">
        <f>IFERROR(INDEX($A$109:$A$118,MATCH(A126,$G$109:$G$118,0)),"")</f>
        <v/>
      </c>
      <c r="C126" s="40">
        <f>IFERROR(INDEX($B$109:$B$118,MATCH(A126,$G$109:$G$118,0)),"")</f>
        <v/>
      </c>
      <c r="D126" s="28">
        <f>IFERROR(INDEX($E$109:$E$118,MATCH(A126,$G$109:$G$118,0)),"")</f>
        <v/>
      </c>
      <c r="E126" s="29">
        <f>IFERROR(INDEX($F$109:$F$118,MATCH(A126,$G$109:$G$118,0)),"")</f>
        <v/>
      </c>
    </row>
    <row r="127">
      <c r="A127" s="31" t="n">
        <v>6</v>
      </c>
      <c r="B127" s="41">
        <f>IFERROR(INDEX($A$109:$A$118,MATCH(A127,$G$109:$G$118,0)),"")</f>
        <v/>
      </c>
      <c r="C127" s="43">
        <f>IFERROR(INDEX($B$109:$B$118,MATCH(A127,$G$109:$G$118,0)),"")</f>
        <v/>
      </c>
      <c r="D127" s="34">
        <f>IFERROR(INDEX($E$109:$E$118,MATCH(A127,$G$109:$G$118,0)),"")</f>
        <v/>
      </c>
      <c r="E127" s="35">
        <f>IFERROR(INDEX($F$109:$F$118,MATCH(A127,$G$109:$G$118,0)),"")</f>
        <v/>
      </c>
    </row>
    <row r="128">
      <c r="A128" s="25" t="n">
        <v>7</v>
      </c>
      <c r="B128" s="38">
        <f>IFERROR(INDEX($A$109:$A$118,MATCH(A128,$G$109:$G$118,0)),"")</f>
        <v/>
      </c>
      <c r="C128" s="40">
        <f>IFERROR(INDEX($B$109:$B$118,MATCH(A128,$G$109:$G$118,0)),"")</f>
        <v/>
      </c>
      <c r="D128" s="28">
        <f>IFERROR(INDEX($E$109:$E$118,MATCH(A128,$G$109:$G$118,0)),"")</f>
        <v/>
      </c>
      <c r="E128" s="29">
        <f>IFERROR(INDEX($F$109:$F$118,MATCH(A128,$G$109:$G$118,0)),"")</f>
        <v/>
      </c>
    </row>
    <row r="129">
      <c r="A129" s="31" t="n">
        <v>8</v>
      </c>
      <c r="B129" s="41">
        <f>IFERROR(INDEX($A$109:$A$118,MATCH(A129,$G$109:$G$118,0)),"")</f>
        <v/>
      </c>
      <c r="C129" s="43">
        <f>IFERROR(INDEX($B$109:$B$118,MATCH(A129,$G$109:$G$118,0)),"")</f>
        <v/>
      </c>
      <c r="D129" s="34">
        <f>IFERROR(INDEX($E$109:$E$118,MATCH(A129,$G$109:$G$118,0)),"")</f>
        <v/>
      </c>
      <c r="E129" s="35">
        <f>IFERROR(INDEX($F$109:$F$118,MATCH(A129,$G$109:$G$118,0)),"")</f>
        <v/>
      </c>
    </row>
    <row r="130">
      <c r="A130" s="25" t="n">
        <v>9</v>
      </c>
      <c r="B130" s="38">
        <f>IFERROR(INDEX($A$109:$A$118,MATCH(A130,$G$109:$G$118,0)),"")</f>
        <v/>
      </c>
      <c r="C130" s="40">
        <f>IFERROR(INDEX($B$109:$B$118,MATCH(A130,$G$109:$G$118,0)),"")</f>
        <v/>
      </c>
      <c r="D130" s="28">
        <f>IFERROR(INDEX($E$109:$E$118,MATCH(A130,$G$109:$G$118,0)),"")</f>
        <v/>
      </c>
      <c r="E130" s="29">
        <f>IFERROR(INDEX($F$109:$F$118,MATCH(A130,$G$109:$G$118,0)),"")</f>
        <v/>
      </c>
    </row>
    <row r="131">
      <c r="A131" s="31" t="n">
        <v>10</v>
      </c>
      <c r="B131" s="41">
        <f>IFERROR(INDEX($A$109:$A$118,MATCH(A131,$G$109:$G$118,0)),"")</f>
        <v/>
      </c>
      <c r="C131" s="43">
        <f>IFERROR(INDEX($B$109:$B$118,MATCH(A131,$G$109:$G$118,0)),"")</f>
        <v/>
      </c>
      <c r="D131" s="34">
        <f>IFERROR(INDEX($E$109:$E$118,MATCH(A131,$G$109:$G$118,0)),"")</f>
        <v/>
      </c>
      <c r="E131" s="35">
        <f>IFERROR(INDEX($F$109:$F$118,MATCH(A131,$G$109:$G$118,0)),"")</f>
        <v/>
      </c>
    </row>
    <row r="133">
      <c r="A133" s="104" t="inlineStr">
        <is>
          <t>Monatsentwicklung — Gesamt aller Mitarbeiter</t>
        </is>
      </c>
    </row>
    <row r="134" ht="30" customHeight="1">
      <c r="A134" s="107" t="inlineStr">
        <is>
          <t>Monat</t>
        </is>
      </c>
      <c r="B134" s="107" t="inlineStr">
        <is>
          <t>Verrechnung</t>
        </is>
      </c>
      <c r="C134" s="107" t="inlineStr">
        <is>
          <t>Selbstkosten</t>
        </is>
      </c>
      <c r="D134" s="107" t="inlineStr">
        <is>
          <t>Abgaben &amp; Rückstellungen</t>
        </is>
      </c>
      <c r="E134" s="107" t="inlineStr">
        <is>
          <t>DB1</t>
        </is>
      </c>
      <c r="F134" s="107" t="inlineStr">
        <is>
          <t>DB1-Marge %</t>
        </is>
      </c>
    </row>
    <row r="135">
      <c r="A135" s="72" t="inlineStr">
        <is>
          <t>Jan</t>
        </is>
      </c>
      <c r="B135" s="40">
        <f>SUMIFS(Monatsabrechnung!E$9:E$308,Monatsabrechnung!$D$9:$D$308,"Verrechnung")</f>
        <v/>
      </c>
      <c r="C135" s="40">
        <f>SUMIFS(Monatsabrechnung!E$9:E$308,Monatsabrechnung!$D$9:$D$308,"Selbstkosten")</f>
        <v/>
      </c>
      <c r="D135" s="40">
        <f>SUM(Rückstellungen!D$9:D$108)+SUM(Rückstellungen!Q$9:Q$108)+SUM(Rückstellungen!AD$9:AD$108)</f>
        <v/>
      </c>
      <c r="E135" s="28">
        <f>B135-C135-D135</f>
        <v/>
      </c>
      <c r="F135" s="29">
        <f>IFERROR(E135/B135,0)</f>
        <v/>
      </c>
    </row>
    <row r="136">
      <c r="A136" s="78" t="inlineStr">
        <is>
          <t>Feb</t>
        </is>
      </c>
      <c r="B136" s="43">
        <f>SUMIFS(Monatsabrechnung!F$9:F$308,Monatsabrechnung!$D$9:$D$308,"Verrechnung")</f>
        <v/>
      </c>
      <c r="C136" s="43">
        <f>SUMIFS(Monatsabrechnung!F$9:F$308,Monatsabrechnung!$D$9:$D$308,"Selbstkosten")</f>
        <v/>
      </c>
      <c r="D136" s="43">
        <f>SUM(Rückstellungen!E$9:E$108)+SUM(Rückstellungen!R$9:R$108)+SUM(Rückstellungen!AE$9:AE$108)</f>
        <v/>
      </c>
      <c r="E136" s="34">
        <f>B136-C136-D136</f>
        <v/>
      </c>
      <c r="F136" s="35">
        <f>IFERROR(E136/B136,0)</f>
        <v/>
      </c>
    </row>
    <row r="137">
      <c r="A137" s="72" t="inlineStr">
        <is>
          <t>Mär</t>
        </is>
      </c>
      <c r="B137" s="40">
        <f>SUMIFS(Monatsabrechnung!G$9:G$308,Monatsabrechnung!$D$9:$D$308,"Verrechnung")</f>
        <v/>
      </c>
      <c r="C137" s="40">
        <f>SUMIFS(Monatsabrechnung!G$9:G$308,Monatsabrechnung!$D$9:$D$308,"Selbstkosten")</f>
        <v/>
      </c>
      <c r="D137" s="40">
        <f>SUM(Rückstellungen!F$9:F$108)+SUM(Rückstellungen!S$9:S$108)+SUM(Rückstellungen!AF$9:AF$108)</f>
        <v/>
      </c>
      <c r="E137" s="28">
        <f>B137-C137-D137</f>
        <v/>
      </c>
      <c r="F137" s="29">
        <f>IFERROR(E137/B137,0)</f>
        <v/>
      </c>
    </row>
    <row r="138">
      <c r="A138" s="78" t="inlineStr">
        <is>
          <t>Apr</t>
        </is>
      </c>
      <c r="B138" s="43">
        <f>SUMIFS(Monatsabrechnung!H$9:H$308,Monatsabrechnung!$D$9:$D$308,"Verrechnung")</f>
        <v/>
      </c>
      <c r="C138" s="43">
        <f>SUMIFS(Monatsabrechnung!H$9:H$308,Monatsabrechnung!$D$9:$D$308,"Selbstkosten")</f>
        <v/>
      </c>
      <c r="D138" s="43">
        <f>SUM(Rückstellungen!G$9:G$108)+SUM(Rückstellungen!T$9:T$108)+SUM(Rückstellungen!AG$9:AG$108)</f>
        <v/>
      </c>
      <c r="E138" s="34">
        <f>B138-C138-D138</f>
        <v/>
      </c>
      <c r="F138" s="35">
        <f>IFERROR(E138/B138,0)</f>
        <v/>
      </c>
    </row>
    <row r="139">
      <c r="A139" s="72" t="inlineStr">
        <is>
          <t>Mai</t>
        </is>
      </c>
      <c r="B139" s="40">
        <f>SUMIFS(Monatsabrechnung!I$9:I$308,Monatsabrechnung!$D$9:$D$308,"Verrechnung")</f>
        <v/>
      </c>
      <c r="C139" s="40">
        <f>SUMIFS(Monatsabrechnung!I$9:I$308,Monatsabrechnung!$D$9:$D$308,"Selbstkosten")</f>
        <v/>
      </c>
      <c r="D139" s="40">
        <f>SUM(Rückstellungen!H$9:H$108)+SUM(Rückstellungen!U$9:U$108)+SUM(Rückstellungen!AH$9:AH$108)</f>
        <v/>
      </c>
      <c r="E139" s="28">
        <f>B139-C139-D139</f>
        <v/>
      </c>
      <c r="F139" s="29">
        <f>IFERROR(E139/B139,0)</f>
        <v/>
      </c>
    </row>
    <row r="140">
      <c r="A140" s="78" t="inlineStr">
        <is>
          <t>Jun</t>
        </is>
      </c>
      <c r="B140" s="43">
        <f>SUMIFS(Monatsabrechnung!J$9:J$308,Monatsabrechnung!$D$9:$D$308,"Verrechnung")</f>
        <v/>
      </c>
      <c r="C140" s="43">
        <f>SUMIFS(Monatsabrechnung!J$9:J$308,Monatsabrechnung!$D$9:$D$308,"Selbstkosten")</f>
        <v/>
      </c>
      <c r="D140" s="43">
        <f>SUM(Rückstellungen!I$9:I$108)+SUM(Rückstellungen!V$9:V$108)+SUM(Rückstellungen!AI$9:AI$108)</f>
        <v/>
      </c>
      <c r="E140" s="34">
        <f>B140-C140-D140</f>
        <v/>
      </c>
      <c r="F140" s="35">
        <f>IFERROR(E140/B140,0)</f>
        <v/>
      </c>
    </row>
    <row r="141">
      <c r="A141" s="72" t="inlineStr">
        <is>
          <t>Jul</t>
        </is>
      </c>
      <c r="B141" s="40">
        <f>SUMIFS(Monatsabrechnung!K$9:K$308,Monatsabrechnung!$D$9:$D$308,"Verrechnung")</f>
        <v/>
      </c>
      <c r="C141" s="40">
        <f>SUMIFS(Monatsabrechnung!K$9:K$308,Monatsabrechnung!$D$9:$D$308,"Selbstkosten")</f>
        <v/>
      </c>
      <c r="D141" s="40">
        <f>SUM(Rückstellungen!J$9:J$108)+SUM(Rückstellungen!W$9:W$108)+SUM(Rückstellungen!AJ$9:AJ$108)</f>
        <v/>
      </c>
      <c r="E141" s="28">
        <f>B141-C141-D141</f>
        <v/>
      </c>
      <c r="F141" s="29">
        <f>IFERROR(E141/B141,0)</f>
        <v/>
      </c>
    </row>
    <row r="142">
      <c r="A142" s="78" t="inlineStr">
        <is>
          <t>Aug</t>
        </is>
      </c>
      <c r="B142" s="43">
        <f>SUMIFS(Monatsabrechnung!L$9:L$308,Monatsabrechnung!$D$9:$D$308,"Verrechnung")</f>
        <v/>
      </c>
      <c r="C142" s="43">
        <f>SUMIFS(Monatsabrechnung!L$9:L$308,Monatsabrechnung!$D$9:$D$308,"Selbstkosten")</f>
        <v/>
      </c>
      <c r="D142" s="43">
        <f>SUM(Rückstellungen!K$9:K$108)+SUM(Rückstellungen!X$9:X$108)+SUM(Rückstellungen!AK$9:AK$108)</f>
        <v/>
      </c>
      <c r="E142" s="34">
        <f>B142-C142-D142</f>
        <v/>
      </c>
      <c r="F142" s="35">
        <f>IFERROR(E142/B142,0)</f>
        <v/>
      </c>
    </row>
    <row r="143">
      <c r="A143" s="72" t="inlineStr">
        <is>
          <t>Sep</t>
        </is>
      </c>
      <c r="B143" s="40">
        <f>SUMIFS(Monatsabrechnung!M$9:M$308,Monatsabrechnung!$D$9:$D$308,"Verrechnung")</f>
        <v/>
      </c>
      <c r="C143" s="40">
        <f>SUMIFS(Monatsabrechnung!M$9:M$308,Monatsabrechnung!$D$9:$D$308,"Selbstkosten")</f>
        <v/>
      </c>
      <c r="D143" s="40">
        <f>SUM(Rückstellungen!L$9:L$108)+SUM(Rückstellungen!Y$9:Y$108)+SUM(Rückstellungen!AL$9:AL$108)</f>
        <v/>
      </c>
      <c r="E143" s="28">
        <f>B143-C143-D143</f>
        <v/>
      </c>
      <c r="F143" s="29">
        <f>IFERROR(E143/B143,0)</f>
        <v/>
      </c>
    </row>
    <row r="144">
      <c r="A144" s="78" t="inlineStr">
        <is>
          <t>Okt</t>
        </is>
      </c>
      <c r="B144" s="43">
        <f>SUMIFS(Monatsabrechnung!N$9:N$308,Monatsabrechnung!$D$9:$D$308,"Verrechnung")</f>
        <v/>
      </c>
      <c r="C144" s="43">
        <f>SUMIFS(Monatsabrechnung!N$9:N$308,Monatsabrechnung!$D$9:$D$308,"Selbstkosten")</f>
        <v/>
      </c>
      <c r="D144" s="43">
        <f>SUM(Rückstellungen!M$9:M$108)+SUM(Rückstellungen!Z$9:Z$108)+SUM(Rückstellungen!AM$9:AM$108)</f>
        <v/>
      </c>
      <c r="E144" s="34">
        <f>B144-C144-D144</f>
        <v/>
      </c>
      <c r="F144" s="35">
        <f>IFERROR(E144/B144,0)</f>
        <v/>
      </c>
    </row>
    <row r="145">
      <c r="A145" s="72" t="inlineStr">
        <is>
          <t>Nov</t>
        </is>
      </c>
      <c r="B145" s="40">
        <f>SUMIFS(Monatsabrechnung!O$9:O$308,Monatsabrechnung!$D$9:$D$308,"Verrechnung")</f>
        <v/>
      </c>
      <c r="C145" s="40">
        <f>SUMIFS(Monatsabrechnung!O$9:O$308,Monatsabrechnung!$D$9:$D$308,"Selbstkosten")</f>
        <v/>
      </c>
      <c r="D145" s="40">
        <f>SUM(Rückstellungen!N$9:N$108)+SUM(Rückstellungen!AA$9:AA$108)+SUM(Rückstellungen!AN$9:AN$108)</f>
        <v/>
      </c>
      <c r="E145" s="28">
        <f>B145-C145-D145</f>
        <v/>
      </c>
      <c r="F145" s="29">
        <f>IFERROR(E145/B145,0)</f>
        <v/>
      </c>
    </row>
    <row r="146">
      <c r="A146" s="78" t="inlineStr">
        <is>
          <t>Dez</t>
        </is>
      </c>
      <c r="B146" s="43">
        <f>SUMIFS(Monatsabrechnung!P$9:P$308,Monatsabrechnung!$D$9:$D$308,"Verrechnung")</f>
        <v/>
      </c>
      <c r="C146" s="43">
        <f>SUMIFS(Monatsabrechnung!P$9:P$308,Monatsabrechnung!$D$9:$D$308,"Selbstkosten")</f>
        <v/>
      </c>
      <c r="D146" s="43">
        <f>SUM(Rückstellungen!O$9:O$108)+SUM(Rückstellungen!AB$9:AB$108)+SUM(Rückstellungen!AO$9:AO$108)</f>
        <v/>
      </c>
      <c r="E146" s="34">
        <f>B146-C146-D146</f>
        <v/>
      </c>
      <c r="F146" s="35">
        <f>IFERROR(E146/B146,0)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2026-07-27T07:52:17Z</dcterms:created>
  <dcterms:modified xsi:type="dcterms:W3CDTF">2026-07-27T07:52:18Z</dcterms:modified>
</cp:coreProperties>
</file>